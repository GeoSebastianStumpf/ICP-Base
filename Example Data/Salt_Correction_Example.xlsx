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unibe365-my.sharepoint.com/personal/sebastian_stumpf_unibe_ch/Documents/PhD/Manuscripts/ICP-Base Software/Example Data/Tobias Arnold FI/Manual Salt Correction/"/>
    </mc:Choice>
  </mc:AlternateContent>
  <xr:revisionPtr revIDLastSave="345" documentId="11_AD4DB114E441178AC67DF4EAB656CEA0693EDF1D" xr6:coauthVersionLast="47" xr6:coauthVersionMax="47" xr10:uidLastSave="{9967F2D9-F19B-4148-90A5-12B6CD5CF324}"/>
  <bookViews>
    <workbookView xWindow="-120" yWindow="-120" windowWidth="29040" windowHeight="15720" xr2:uid="{00000000-000D-0000-FFFF-FFFF00000000}"/>
  </bookViews>
  <sheets>
    <sheet name="Ca and K correction Example" sheetId="3" r:id="rId1"/>
    <sheet name="Chlorid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31" i="3" l="1"/>
  <c r="AC30" i="3"/>
  <c r="AC29" i="3"/>
  <c r="AC28" i="3"/>
  <c r="AC27" i="3"/>
  <c r="AC26" i="3"/>
  <c r="AC25" i="3"/>
  <c r="AC24" i="3"/>
  <c r="AC23" i="3"/>
  <c r="AC22" i="3"/>
  <c r="AC21" i="3"/>
  <c r="AC20" i="3"/>
  <c r="AC19" i="3"/>
  <c r="AC18" i="3"/>
  <c r="AC17" i="3"/>
  <c r="AC16" i="3"/>
  <c r="AC15" i="3"/>
  <c r="AC14" i="3"/>
  <c r="AC13" i="3"/>
  <c r="AC12" i="3"/>
  <c r="AC11" i="3"/>
  <c r="AC10" i="3"/>
  <c r="AC9" i="3"/>
  <c r="AC8" i="3"/>
  <c r="AC7" i="3"/>
  <c r="AC6" i="3"/>
  <c r="R31" i="3"/>
  <c r="Q31" i="3"/>
  <c r="R30" i="3"/>
  <c r="Q30" i="3"/>
  <c r="R29" i="3"/>
  <c r="Q29" i="3"/>
  <c r="U29" i="3" s="1"/>
  <c r="X29" i="3" s="1"/>
  <c r="R28" i="3"/>
  <c r="Q28" i="3"/>
  <c r="R27" i="3"/>
  <c r="Q27" i="3"/>
  <c r="R26" i="3"/>
  <c r="Q26" i="3"/>
  <c r="R25" i="3"/>
  <c r="Q25" i="3"/>
  <c r="R24" i="3"/>
  <c r="Q24" i="3"/>
  <c r="R23" i="3"/>
  <c r="Q23" i="3"/>
  <c r="R22" i="3"/>
  <c r="Q22" i="3"/>
  <c r="R21" i="3"/>
  <c r="Q21" i="3"/>
  <c r="U21" i="3" s="1"/>
  <c r="X21" i="3" s="1"/>
  <c r="R20" i="3"/>
  <c r="Q20" i="3"/>
  <c r="R19" i="3"/>
  <c r="Q19" i="3"/>
  <c r="R18" i="3"/>
  <c r="Q18" i="3"/>
  <c r="R17" i="3"/>
  <c r="Q17" i="3"/>
  <c r="R16" i="3"/>
  <c r="Q16" i="3"/>
  <c r="R15" i="3"/>
  <c r="Q15" i="3"/>
  <c r="R14" i="3"/>
  <c r="Q14" i="3"/>
  <c r="R13" i="3"/>
  <c r="Q13" i="3"/>
  <c r="U13" i="3" s="1"/>
  <c r="X13" i="3" s="1"/>
  <c r="R12" i="3"/>
  <c r="Q12" i="3"/>
  <c r="R11" i="3"/>
  <c r="Q11" i="3"/>
  <c r="R10" i="3"/>
  <c r="Q10" i="3"/>
  <c r="R9" i="3"/>
  <c r="Q9" i="3"/>
  <c r="R8" i="3"/>
  <c r="Q8" i="3"/>
  <c r="R7" i="3"/>
  <c r="Q7" i="3"/>
  <c r="R6" i="3"/>
  <c r="Q6" i="3"/>
  <c r="H31" i="3"/>
  <c r="G31" i="3"/>
  <c r="H30" i="3"/>
  <c r="G30" i="3"/>
  <c r="H29" i="3"/>
  <c r="G29" i="3"/>
  <c r="H28" i="3"/>
  <c r="G28" i="3"/>
  <c r="H27" i="3"/>
  <c r="V27" i="3" s="1"/>
  <c r="Y27" i="3" s="1"/>
  <c r="G27" i="3"/>
  <c r="H26" i="3"/>
  <c r="G26" i="3"/>
  <c r="H25" i="3"/>
  <c r="G25" i="3"/>
  <c r="U25" i="3" s="1"/>
  <c r="X25" i="3" s="1"/>
  <c r="H24" i="3"/>
  <c r="G24" i="3"/>
  <c r="H23" i="3"/>
  <c r="G23" i="3"/>
  <c r="H22" i="3"/>
  <c r="G22" i="3"/>
  <c r="H21" i="3"/>
  <c r="G21" i="3"/>
  <c r="H20" i="3"/>
  <c r="G20" i="3"/>
  <c r="U20" i="3" s="1"/>
  <c r="X20" i="3" s="1"/>
  <c r="H19" i="3"/>
  <c r="G19" i="3"/>
  <c r="H18" i="3"/>
  <c r="G18" i="3"/>
  <c r="H17" i="3"/>
  <c r="G17" i="3"/>
  <c r="H16" i="3"/>
  <c r="G16" i="3"/>
  <c r="H15" i="3"/>
  <c r="G15" i="3"/>
  <c r="H14" i="3"/>
  <c r="G14" i="3"/>
  <c r="H13" i="3"/>
  <c r="G13" i="3"/>
  <c r="H12" i="3"/>
  <c r="G12" i="3"/>
  <c r="H11" i="3"/>
  <c r="V11" i="3" s="1"/>
  <c r="Y11" i="3" s="1"/>
  <c r="G11" i="3"/>
  <c r="H10" i="3"/>
  <c r="G10" i="3"/>
  <c r="H9" i="3"/>
  <c r="G9" i="3"/>
  <c r="U9" i="3" s="1"/>
  <c r="X9" i="3" s="1"/>
  <c r="H8" i="3"/>
  <c r="G8" i="3"/>
  <c r="H7" i="3"/>
  <c r="G7" i="3"/>
  <c r="H6" i="3"/>
  <c r="G6" i="3"/>
  <c r="U7" i="3" l="1"/>
  <c r="X7" i="3" s="1"/>
  <c r="V7" i="3"/>
  <c r="Y7" i="3" s="1"/>
  <c r="V16" i="3"/>
  <c r="Y16" i="3" s="1"/>
  <c r="U17" i="3"/>
  <c r="X17" i="3" s="1"/>
  <c r="V17" i="3"/>
  <c r="Y17" i="3" s="1"/>
  <c r="U10" i="3"/>
  <c r="X10" i="3" s="1"/>
  <c r="U19" i="3"/>
  <c r="X19" i="3" s="1"/>
  <c r="V19" i="3"/>
  <c r="Y19" i="3" s="1"/>
  <c r="U23" i="3"/>
  <c r="X23" i="3" s="1"/>
  <c r="V23" i="3"/>
  <c r="Y23" i="3" s="1"/>
  <c r="U26" i="3"/>
  <c r="X26" i="3" s="1"/>
  <c r="V26" i="3"/>
  <c r="Y26" i="3" s="1"/>
  <c r="U12" i="3"/>
  <c r="X12" i="3" s="1"/>
  <c r="U28" i="3"/>
  <c r="X28" i="3" s="1"/>
  <c r="AG28" i="3" s="1"/>
  <c r="AI28" i="3" s="1"/>
  <c r="V10" i="3"/>
  <c r="Y10" i="3" s="1"/>
  <c r="AG10" i="3" s="1"/>
  <c r="AI10" i="3" s="1"/>
  <c r="U11" i="3"/>
  <c r="X11" i="3" s="1"/>
  <c r="AG11" i="3" s="1"/>
  <c r="AI11" i="3" s="1"/>
  <c r="U27" i="3"/>
  <c r="X27" i="3" s="1"/>
  <c r="AG27" i="3" s="1"/>
  <c r="AI27" i="3" s="1"/>
  <c r="V12" i="3"/>
  <c r="Y12" i="3" s="1"/>
  <c r="V20" i="3"/>
  <c r="Y20" i="3" s="1"/>
  <c r="V28" i="3"/>
  <c r="Y28" i="3" s="1"/>
  <c r="AG20" i="3"/>
  <c r="AI20" i="3" s="1"/>
  <c r="U15" i="3"/>
  <c r="X15" i="3" s="1"/>
  <c r="U31" i="3"/>
  <c r="X31" i="3" s="1"/>
  <c r="V15" i="3"/>
  <c r="Y15" i="3" s="1"/>
  <c r="V31" i="3"/>
  <c r="Y31" i="3" s="1"/>
  <c r="AG31" i="3" s="1"/>
  <c r="AI31" i="3" s="1"/>
  <c r="U8" i="3"/>
  <c r="X8" i="3" s="1"/>
  <c r="U16" i="3"/>
  <c r="X16" i="3" s="1"/>
  <c r="AG16" i="3" s="1"/>
  <c r="AI16" i="3" s="1"/>
  <c r="U24" i="3"/>
  <c r="X24" i="3" s="1"/>
  <c r="V8" i="3"/>
  <c r="Y8" i="3" s="1"/>
  <c r="V24" i="3"/>
  <c r="Y24" i="3" s="1"/>
  <c r="V9" i="3"/>
  <c r="Y9" i="3" s="1"/>
  <c r="AG9" i="3" s="1"/>
  <c r="AI9" i="3" s="1"/>
  <c r="V25" i="3"/>
  <c r="Y25" i="3" s="1"/>
  <c r="AG25" i="3" s="1"/>
  <c r="AI25" i="3" s="1"/>
  <c r="U18" i="3"/>
  <c r="X18" i="3" s="1"/>
  <c r="AG18" i="3" s="1"/>
  <c r="AI18" i="3" s="1"/>
  <c r="V18" i="3"/>
  <c r="Y18" i="3" s="1"/>
  <c r="V13" i="3"/>
  <c r="Y13" i="3" s="1"/>
  <c r="AG13" i="3" s="1"/>
  <c r="AI13" i="3" s="1"/>
  <c r="V21" i="3"/>
  <c r="Y21" i="3" s="1"/>
  <c r="AG21" i="3" s="1"/>
  <c r="AI21" i="3" s="1"/>
  <c r="V29" i="3"/>
  <c r="Y29" i="3" s="1"/>
  <c r="U6" i="3"/>
  <c r="X6" i="3" s="1"/>
  <c r="U22" i="3"/>
  <c r="X22" i="3" s="1"/>
  <c r="U30" i="3"/>
  <c r="X30" i="3" s="1"/>
  <c r="U14" i="3"/>
  <c r="X14" i="3" s="1"/>
  <c r="V6" i="3"/>
  <c r="Y6" i="3" s="1"/>
  <c r="V14" i="3"/>
  <c r="Y14" i="3" s="1"/>
  <c r="V22" i="3"/>
  <c r="Y22" i="3" s="1"/>
  <c r="V30" i="3"/>
  <c r="Y30" i="3" s="1"/>
  <c r="AG29" i="3"/>
  <c r="AI29" i="3" s="1"/>
  <c r="AG12" i="3" l="1"/>
  <c r="AI12" i="3" s="1"/>
  <c r="AG26" i="3"/>
  <c r="AI26" i="3" s="1"/>
  <c r="AG19" i="3"/>
  <c r="AI19" i="3" s="1"/>
  <c r="AG15" i="3"/>
  <c r="AI15" i="3" s="1"/>
  <c r="AG17" i="3"/>
  <c r="AI17" i="3" s="1"/>
  <c r="AG23" i="3"/>
  <c r="AI23" i="3" s="1"/>
  <c r="AG7" i="3"/>
  <c r="AI7" i="3" s="1"/>
  <c r="AG24" i="3"/>
  <c r="AI24" i="3" s="1"/>
  <c r="AG8" i="3"/>
  <c r="AI8" i="3" s="1"/>
  <c r="AG30" i="3"/>
  <c r="AI30" i="3" s="1"/>
  <c r="AG14" i="3"/>
  <c r="AI14" i="3" s="1"/>
  <c r="AG6" i="3"/>
  <c r="AI6" i="3" s="1"/>
  <c r="AG22" i="3"/>
  <c r="AI22" i="3" s="1"/>
</calcChain>
</file>

<file path=xl/sharedStrings.xml><?xml version="1.0" encoding="utf-8"?>
<sst xmlns="http://schemas.openxmlformats.org/spreadsheetml/2006/main" count="242" uniqueCount="197">
  <si>
    <t>#</t>
  </si>
  <si>
    <t>Spotname</t>
  </si>
  <si>
    <t>Na23</t>
  </si>
  <si>
    <t>K39</t>
  </si>
  <si>
    <t>Ca43</t>
  </si>
  <si>
    <t>Sensitivity</t>
  </si>
  <si>
    <t>Sensitivity relative to Na</t>
  </si>
  <si>
    <t>CPS ratios relative  to Na</t>
  </si>
  <si>
    <t>Preliminary mass fractions CONC_ratios</t>
  </si>
  <si>
    <t>Na</t>
  </si>
  <si>
    <t>K</t>
  </si>
  <si>
    <t>Ca</t>
  </si>
  <si>
    <t>KCl</t>
  </si>
  <si>
    <t>CaCl2</t>
  </si>
  <si>
    <t>NaCl</t>
  </si>
  <si>
    <t>g/mol:</t>
  </si>
  <si>
    <t>Chloride mass fraction ratios</t>
  </si>
  <si>
    <t>Salinity</t>
  </si>
  <si>
    <t>Na equivalent</t>
  </si>
  <si>
    <t>Na wt%</t>
  </si>
  <si>
    <t>NaCl eq. wt%</t>
  </si>
  <si>
    <t>Na eq. wt%</t>
  </si>
  <si>
    <t>Mass balance factor</t>
  </si>
  <si>
    <t>Na µg/g</t>
  </si>
  <si>
    <t>From ICP-Base</t>
  </si>
  <si>
    <t>Calculated</t>
  </si>
  <si>
    <t>User input</t>
  </si>
  <si>
    <t>Corrected Na values to be used as internal standard</t>
  </si>
  <si>
    <t>Li</t>
  </si>
  <si>
    <t>LiCl</t>
  </si>
  <si>
    <t>Be</t>
  </si>
  <si>
    <t>BeCl2</t>
  </si>
  <si>
    <t>B</t>
  </si>
  <si>
    <t>BCl3</t>
  </si>
  <si>
    <t>Mg</t>
  </si>
  <si>
    <t>MgCl2</t>
  </si>
  <si>
    <t>Al</t>
  </si>
  <si>
    <t>AlCl3</t>
  </si>
  <si>
    <t>Si</t>
  </si>
  <si>
    <t>SiCl4</t>
  </si>
  <si>
    <t>P</t>
  </si>
  <si>
    <t>PCl5</t>
  </si>
  <si>
    <t>Sc</t>
  </si>
  <si>
    <t>ScCl3</t>
  </si>
  <si>
    <t>Ti</t>
  </si>
  <si>
    <t>TiCl4</t>
  </si>
  <si>
    <t>V</t>
  </si>
  <si>
    <t>VCl4</t>
  </si>
  <si>
    <t>Cr</t>
  </si>
  <si>
    <t>CrCl3</t>
  </si>
  <si>
    <t>Mn</t>
  </si>
  <si>
    <t>MnCl2</t>
  </si>
  <si>
    <t>Fe</t>
  </si>
  <si>
    <t>FeCl2</t>
  </si>
  <si>
    <t>Co</t>
  </si>
  <si>
    <t>CoCl2</t>
  </si>
  <si>
    <t>Ni</t>
  </si>
  <si>
    <t>NiCl2</t>
  </si>
  <si>
    <t>Cu</t>
  </si>
  <si>
    <t>CuCl</t>
  </si>
  <si>
    <t>Zn</t>
  </si>
  <si>
    <t>ZnCl2</t>
  </si>
  <si>
    <t>Ga</t>
  </si>
  <si>
    <t>GaCl3</t>
  </si>
  <si>
    <t>Ge</t>
  </si>
  <si>
    <t>GeCl2</t>
  </si>
  <si>
    <t>As</t>
  </si>
  <si>
    <t>AsCl3</t>
  </si>
  <si>
    <t>Rb</t>
  </si>
  <si>
    <t>RbCl</t>
  </si>
  <si>
    <t>Sr</t>
  </si>
  <si>
    <t>SrCl2</t>
  </si>
  <si>
    <t>Y</t>
  </si>
  <si>
    <t>YCl3</t>
  </si>
  <si>
    <t>Zr</t>
  </si>
  <si>
    <t>ZrCl4</t>
  </si>
  <si>
    <t>Nb</t>
  </si>
  <si>
    <t>NbCl5</t>
  </si>
  <si>
    <t>Mo</t>
  </si>
  <si>
    <t>MoCl6</t>
  </si>
  <si>
    <t>Tc</t>
  </si>
  <si>
    <t>TcCl2</t>
  </si>
  <si>
    <t>Ru</t>
  </si>
  <si>
    <t>RuCl3</t>
  </si>
  <si>
    <t>Rh</t>
  </si>
  <si>
    <t>RhCl3</t>
  </si>
  <si>
    <t>Pd</t>
  </si>
  <si>
    <t>PdCl2</t>
  </si>
  <si>
    <t>Ag</t>
  </si>
  <si>
    <t>AgCl</t>
  </si>
  <si>
    <t>Cd</t>
  </si>
  <si>
    <t>CdCl2</t>
  </si>
  <si>
    <t>In</t>
  </si>
  <si>
    <t>InCl3</t>
  </si>
  <si>
    <t>Sn</t>
  </si>
  <si>
    <t>SnCl2</t>
  </si>
  <si>
    <t>Sb</t>
  </si>
  <si>
    <t>SbCl3</t>
  </si>
  <si>
    <t>Cs</t>
  </si>
  <si>
    <t>CsCl</t>
  </si>
  <si>
    <t>Ba</t>
  </si>
  <si>
    <t>BaCl2</t>
  </si>
  <si>
    <t>La</t>
  </si>
  <si>
    <t>LaCl3</t>
  </si>
  <si>
    <t>Ce</t>
  </si>
  <si>
    <t>CeCl3</t>
  </si>
  <si>
    <t>Pr</t>
  </si>
  <si>
    <t>PrCl3</t>
  </si>
  <si>
    <t>Nd</t>
  </si>
  <si>
    <t>NdCl3</t>
  </si>
  <si>
    <t>Pm</t>
  </si>
  <si>
    <t>PmCl3</t>
  </si>
  <si>
    <t>Sm</t>
  </si>
  <si>
    <t>SmCl3</t>
  </si>
  <si>
    <t>Eu</t>
  </si>
  <si>
    <t>EuCl3</t>
  </si>
  <si>
    <t>Gd</t>
  </si>
  <si>
    <t>GdCl2</t>
  </si>
  <si>
    <t>Tb</t>
  </si>
  <si>
    <t>TbCl3</t>
  </si>
  <si>
    <t>Dy</t>
  </si>
  <si>
    <t>DyCl3</t>
  </si>
  <si>
    <t>Ho</t>
  </si>
  <si>
    <t>HoCl3</t>
  </si>
  <si>
    <t>Er</t>
  </si>
  <si>
    <t>ErCl3</t>
  </si>
  <si>
    <t>Tm</t>
  </si>
  <si>
    <t>TmCl3</t>
  </si>
  <si>
    <t>Yb</t>
  </si>
  <si>
    <t>YbCl3</t>
  </si>
  <si>
    <t>Lu</t>
  </si>
  <si>
    <t>LuCl3</t>
  </si>
  <si>
    <t>Hf</t>
  </si>
  <si>
    <t>HfCl4</t>
  </si>
  <si>
    <t>Ta</t>
  </si>
  <si>
    <t>TaCl5</t>
  </si>
  <si>
    <t>W</t>
  </si>
  <si>
    <t>WCl6</t>
  </si>
  <si>
    <t>Re</t>
  </si>
  <si>
    <t>ReCl4</t>
  </si>
  <si>
    <t>Os</t>
  </si>
  <si>
    <t>OsCl4</t>
  </si>
  <si>
    <t>Ir</t>
  </si>
  <si>
    <t>IrCl4</t>
  </si>
  <si>
    <t>Pt</t>
  </si>
  <si>
    <t>PtCl4</t>
  </si>
  <si>
    <t>Au</t>
  </si>
  <si>
    <t>AuCl</t>
  </si>
  <si>
    <t>Hg</t>
  </si>
  <si>
    <t>HgCl</t>
  </si>
  <si>
    <t>Tl</t>
  </si>
  <si>
    <t>TlCl</t>
  </si>
  <si>
    <t>Pb</t>
  </si>
  <si>
    <t>PbCl2</t>
  </si>
  <si>
    <t>Bi</t>
  </si>
  <si>
    <t>BiCl3</t>
  </si>
  <si>
    <t>Th</t>
  </si>
  <si>
    <t>ThCl4</t>
  </si>
  <si>
    <t>U</t>
  </si>
  <si>
    <t>UCl4</t>
  </si>
  <si>
    <t>Element</t>
  </si>
  <si>
    <t>Chloride</t>
  </si>
  <si>
    <t>g/mol Element</t>
  </si>
  <si>
    <t>g/mol Chloride</t>
  </si>
  <si>
    <t>Correction example using Ca and K - adjust the sheet if other elements need to be corrected for</t>
  </si>
  <si>
    <t>Fluid_Inclusion_1</t>
  </si>
  <si>
    <t>Fluid_Inclusion_2</t>
  </si>
  <si>
    <t>Fluid_Inclusion_3</t>
  </si>
  <si>
    <t>Fluid_Inclusion_4</t>
  </si>
  <si>
    <t>Fluid_Inclusion_5</t>
  </si>
  <si>
    <t>Fluid_Inclusion_6</t>
  </si>
  <si>
    <t>Fluid_Inclusion_7</t>
  </si>
  <si>
    <t>Fluid_Inclusion_8</t>
  </si>
  <si>
    <t>Fluid_Inclusion_9</t>
  </si>
  <si>
    <t>Fluid_Inclusion_10</t>
  </si>
  <si>
    <t>Fluid_Inclusion_11</t>
  </si>
  <si>
    <t>Fluid_Inclusion_12</t>
  </si>
  <si>
    <t>Fluid_Inclusion_13</t>
  </si>
  <si>
    <t>Fluid_Inclusion_14</t>
  </si>
  <si>
    <t>Fluid_Inclusion_15</t>
  </si>
  <si>
    <t>Fluid_Inclusion_16</t>
  </si>
  <si>
    <t>Fluid_Inclusion_17</t>
  </si>
  <si>
    <t>Fluid_Inclusion_18</t>
  </si>
  <si>
    <t>Fluid_Inclusion_19</t>
  </si>
  <si>
    <t>Fluid_Inclusion_20</t>
  </si>
  <si>
    <t>Fluid_Inclusion_21</t>
  </si>
  <si>
    <t>Fluid_Inclusion_22</t>
  </si>
  <si>
    <t>Fluid_Inclusion_23</t>
  </si>
  <si>
    <t>Fluid_Inclusion_24</t>
  </si>
  <si>
    <t>Fluid_Inclusion_25</t>
  </si>
  <si>
    <t>Fluid_Inclusion_26</t>
  </si>
  <si>
    <t>From the Results Module (See Manual), I deleted all other element columns to make it easier to work with</t>
  </si>
  <si>
    <r>
      <rPr>
        <b/>
        <sz val="11"/>
        <color theme="1"/>
        <rFont val="Calibri"/>
        <family val="2"/>
        <scheme val="minor"/>
      </rPr>
      <t xml:space="preserve">Heinrich et al. (2003) </t>
    </r>
    <r>
      <rPr>
        <sz val="11"/>
        <color theme="1"/>
        <rFont val="Calibri"/>
        <family val="2"/>
        <scheme val="minor"/>
      </rPr>
      <t xml:space="preserve">Geochim. Cosmochim. Acta, 67(18) 3473-3496 and in </t>
    </r>
  </si>
  <si>
    <t xml:space="preserve">References: </t>
  </si>
  <si>
    <r>
      <rPr>
        <b/>
        <sz val="11"/>
        <color theme="1"/>
        <rFont val="Calibri"/>
        <family val="2"/>
        <scheme val="minor"/>
      </rPr>
      <t>Allan et al. (2005)</t>
    </r>
    <r>
      <rPr>
        <sz val="11"/>
        <color theme="1"/>
        <rFont val="Calibri"/>
        <family val="2"/>
        <scheme val="minor"/>
      </rPr>
      <t xml:space="preserve"> Amer. Min. 1767-1775 </t>
    </r>
  </si>
  <si>
    <t>Molar weights of used chlorides</t>
  </si>
  <si>
    <t>Inclusion counts-per-second (CPS)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</si>
</sst>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"/>
    <numFmt numFmtId="165" formatCode="0.0000"/>
    <numFmt numFmtId="166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1" fontId="0" fillId="0" borderId="0" xfId="0" applyNumberFormat="1" applyAlignment="1">
      <alignment horizontal="center"/>
    </xf>
    <xf numFmtId="0" fontId="0" fillId="3" borderId="0" xfId="0" applyFill="1" applyAlignment="1">
      <alignment horizontal="center" vertical="center" wrapText="1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" fontId="0" fillId="2" borderId="0" xfId="0" applyNumberFormat="1" applyFill="1" applyAlignment="1">
      <alignment horizontal="center"/>
    </xf>
    <xf numFmtId="0" fontId="0" fillId="0" borderId="0" xfId="0" applyAlignment="1">
      <alignment horizontal="left"/>
    </xf>
    <xf numFmtId="0" fontId="2" fillId="6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 wrapText="1"/>
    </xf>
    <xf numFmtId="0" fontId="0" fillId="5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2" borderId="0" xfId="0" applyFill="1" applyAlignment="1">
      <alignment horizontal="center" vertical="center" wrapText="1"/>
    </xf>
    <xf numFmtId="1" fontId="0" fillId="3" borderId="0" xfId="0" applyNumberForma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839FE-1958-49F4-8DA1-EF8DBF9044C0}">
  <dimension ref="A1:AI62"/>
  <sheetViews>
    <sheetView tabSelected="1" zoomScale="70" zoomScaleNormal="70" workbookViewId="0">
      <selection activeCell="N42" sqref="N42"/>
    </sheetView>
  </sheetViews>
  <sheetFormatPr defaultRowHeight="15" x14ac:dyDescent="0.25"/>
  <cols>
    <col min="1" max="1" width="6.85546875" style="1" bestFit="1" customWidth="1"/>
    <col min="2" max="2" width="24.5703125" style="1" bestFit="1" customWidth="1"/>
    <col min="3" max="7" width="9.140625" style="1"/>
    <col min="8" max="8" width="14.85546875" style="1" bestFit="1" customWidth="1"/>
    <col min="9" max="9" width="13.5703125" style="1" customWidth="1"/>
    <col min="10" max="11" width="9.140625" style="1"/>
    <col min="12" max="12" width="11.28515625" style="1" customWidth="1"/>
    <col min="13" max="14" width="9.140625" style="1"/>
    <col min="15" max="15" width="12.28515625" style="1" customWidth="1"/>
    <col min="16" max="16" width="9.140625" style="1"/>
    <col min="17" max="17" width="11.5703125" style="1" customWidth="1"/>
    <col min="18" max="18" width="9.140625" style="1"/>
    <col min="19" max="19" width="12.7109375" style="1" bestFit="1" customWidth="1"/>
    <col min="20" max="16384" width="9.140625" style="1"/>
  </cols>
  <sheetData>
    <row r="1" spans="1:35" x14ac:dyDescent="0.25">
      <c r="A1" s="11" t="s">
        <v>164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35" x14ac:dyDescent="0.25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4" spans="1:35" s="19" customFormat="1" ht="45" x14ac:dyDescent="0.25">
      <c r="A4" s="18" t="s">
        <v>196</v>
      </c>
      <c r="B4" s="18"/>
      <c r="C4" s="18"/>
      <c r="D4" s="18"/>
      <c r="E4" s="18"/>
      <c r="G4" s="12" t="s">
        <v>7</v>
      </c>
      <c r="H4" s="12"/>
      <c r="K4" s="18" t="s">
        <v>5</v>
      </c>
      <c r="L4" s="18"/>
      <c r="M4" s="18"/>
      <c r="N4" s="18"/>
      <c r="O4" s="18"/>
      <c r="Q4" s="12" t="s">
        <v>6</v>
      </c>
      <c r="R4" s="12"/>
      <c r="U4" s="12" t="s">
        <v>8</v>
      </c>
      <c r="V4" s="12"/>
      <c r="X4" s="12" t="s">
        <v>16</v>
      </c>
      <c r="Y4" s="12"/>
      <c r="AA4" s="5" t="s">
        <v>17</v>
      </c>
      <c r="AC4" s="3" t="s">
        <v>18</v>
      </c>
      <c r="AE4" s="5" t="s">
        <v>22</v>
      </c>
      <c r="AG4" s="3" t="s">
        <v>19</v>
      </c>
      <c r="AI4" s="2" t="s">
        <v>23</v>
      </c>
    </row>
    <row r="5" spans="1:35" x14ac:dyDescent="0.2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G5" s="4" t="s">
        <v>3</v>
      </c>
      <c r="H5" s="4" t="s">
        <v>4</v>
      </c>
      <c r="K5" s="1" t="s">
        <v>0</v>
      </c>
      <c r="L5" s="1" t="s">
        <v>1</v>
      </c>
      <c r="M5" s="4" t="s">
        <v>2</v>
      </c>
      <c r="N5" s="4" t="s">
        <v>3</v>
      </c>
      <c r="O5" s="4" t="s">
        <v>4</v>
      </c>
      <c r="Q5" s="4" t="s">
        <v>3</v>
      </c>
      <c r="R5" s="4" t="s">
        <v>4</v>
      </c>
      <c r="U5" s="4" t="s">
        <v>3</v>
      </c>
      <c r="V5" s="4" t="s">
        <v>4</v>
      </c>
      <c r="X5" s="4" t="s">
        <v>3</v>
      </c>
      <c r="Y5" s="4" t="s">
        <v>4</v>
      </c>
      <c r="AA5" s="1" t="s">
        <v>20</v>
      </c>
      <c r="AC5" s="1" t="s">
        <v>21</v>
      </c>
    </row>
    <row r="6" spans="1:35" x14ac:dyDescent="0.25">
      <c r="A6" s="1">
        <v>4</v>
      </c>
      <c r="B6" s="1" t="s">
        <v>165</v>
      </c>
      <c r="C6" s="1">
        <v>11457948</v>
      </c>
      <c r="D6" s="1">
        <v>3866156.75</v>
      </c>
      <c r="E6" s="1">
        <v>2355.77587890625</v>
      </c>
      <c r="G6" s="1">
        <f>D6/$C6</f>
        <v>0.33742139081098987</v>
      </c>
      <c r="H6" s="6">
        <f>E6/$C6</f>
        <v>2.0560190000044074E-4</v>
      </c>
      <c r="K6" s="1">
        <v>4</v>
      </c>
      <c r="L6" s="1" t="s">
        <v>165</v>
      </c>
      <c r="M6" s="4">
        <v>7926.36865234375</v>
      </c>
      <c r="N6" s="4">
        <v>6642.45263671875</v>
      </c>
      <c r="O6" s="4">
        <v>9.7009067535400391</v>
      </c>
      <c r="Q6" s="1">
        <f>N6/$M6</f>
        <v>0.83801964405915452</v>
      </c>
      <c r="R6" s="1">
        <f>O6/$M6</f>
        <v>1.223877815810595E-3</v>
      </c>
      <c r="U6" s="1">
        <f>G6/Q6</f>
        <v>0.40264138579927111</v>
      </c>
      <c r="V6" s="1">
        <f>H6/R6</f>
        <v>0.16799217809521869</v>
      </c>
      <c r="X6" s="7">
        <f>U6*($V$36/$W$36)*($Z$36/$Y$36)</f>
        <v>0.30200773521954749</v>
      </c>
      <c r="Y6" s="7">
        <f>V6*($V$36/$X$36)*($AA$36/$Y$36)</f>
        <v>0.18299314980405354</v>
      </c>
      <c r="AA6" s="1">
        <v>14.25</v>
      </c>
      <c r="AC6" s="8">
        <f>AA6*($V$36/$Y$36)</f>
        <v>5.6058778234086235</v>
      </c>
      <c r="AE6" s="1">
        <v>0.5</v>
      </c>
      <c r="AG6" s="8">
        <f t="shared" ref="AG6:AG31" si="0">AC6/(1+AE6*SUM(X6:Y6))</f>
        <v>4.5117712892527866</v>
      </c>
      <c r="AI6" s="9">
        <f>AG6*10000</f>
        <v>45117.712892527867</v>
      </c>
    </row>
    <row r="7" spans="1:35" x14ac:dyDescent="0.25">
      <c r="A7" s="1">
        <v>5</v>
      </c>
      <c r="B7" s="1" t="s">
        <v>166</v>
      </c>
      <c r="C7" s="1">
        <v>14591757</v>
      </c>
      <c r="D7" s="1">
        <v>4880907.5</v>
      </c>
      <c r="E7" s="1">
        <v>2550.82275390625</v>
      </c>
      <c r="G7" s="1">
        <f>D7/$C7</f>
        <v>0.33449758654835055</v>
      </c>
      <c r="H7" s="6">
        <f>E7/$C7</f>
        <v>1.7481258452332026E-4</v>
      </c>
      <c r="K7" s="1">
        <v>5</v>
      </c>
      <c r="L7" s="1" t="s">
        <v>166</v>
      </c>
      <c r="M7" s="4">
        <v>7996.9453125</v>
      </c>
      <c r="N7" s="4">
        <v>6703.486328125</v>
      </c>
      <c r="O7" s="4">
        <v>9.7872343063354492</v>
      </c>
      <c r="Q7" s="1">
        <f>N7/$M7</f>
        <v>0.8382558672305539</v>
      </c>
      <c r="R7" s="1">
        <f>O7/$M7</f>
        <v>1.2238716064541613E-3</v>
      </c>
      <c r="U7" s="1">
        <f>G7/Q7</f>
        <v>0.39903995859100899</v>
      </c>
      <c r="V7" s="1">
        <f>H7/R7</f>
        <v>0.14283572198377303</v>
      </c>
      <c r="X7" s="7">
        <f>U7*($V$36/$W$36)*($Z$36/$Y$36)</f>
        <v>0.29930642603205243</v>
      </c>
      <c r="Y7" s="7">
        <f>V7*($V$36/$X$36)*($AA$36/$Y$36)</f>
        <v>0.15559033144704879</v>
      </c>
      <c r="AA7" s="1">
        <v>14.25</v>
      </c>
      <c r="AC7" s="8">
        <f>AA7*($V$36/$Y$36)</f>
        <v>5.6058778234086235</v>
      </c>
      <c r="AE7" s="1">
        <v>0.5</v>
      </c>
      <c r="AG7" s="8">
        <f t="shared" si="0"/>
        <v>4.5670986417899053</v>
      </c>
      <c r="AI7" s="9">
        <f t="shared" ref="AI7:AI31" si="1">AG7*10000</f>
        <v>45670.986417899054</v>
      </c>
    </row>
    <row r="8" spans="1:35" x14ac:dyDescent="0.25">
      <c r="A8" s="1">
        <v>6</v>
      </c>
      <c r="B8" s="1" t="s">
        <v>167</v>
      </c>
      <c r="C8" s="1">
        <v>46386596</v>
      </c>
      <c r="D8" s="1">
        <v>16238083</v>
      </c>
      <c r="E8" s="1">
        <v>7521.8955078125</v>
      </c>
      <c r="G8" s="1">
        <f>D8/$C8</f>
        <v>0.35005981038143003</v>
      </c>
      <c r="H8" s="6">
        <f>E8/$C8</f>
        <v>1.6215666068302361E-4</v>
      </c>
      <c r="K8" s="1">
        <v>6</v>
      </c>
      <c r="L8" s="1" t="s">
        <v>167</v>
      </c>
      <c r="M8" s="4">
        <v>8067.52197265625</v>
      </c>
      <c r="N8" s="4">
        <v>6764.51953125</v>
      </c>
      <c r="O8" s="4">
        <v>9.8735618591308594</v>
      </c>
      <c r="Q8" s="1">
        <f>N8/$M8</f>
        <v>0.83848789680119906</v>
      </c>
      <c r="R8" s="1">
        <f>O8/$M8</f>
        <v>1.2238655057396721E-3</v>
      </c>
      <c r="U8" s="1">
        <f>G8/Q8</f>
        <v>0.41748940171574989</v>
      </c>
      <c r="V8" s="1">
        <f>H8/R8</f>
        <v>0.13249549065852656</v>
      </c>
      <c r="X8" s="7">
        <f>U8*($V$36/$W$36)*($Z$36/$Y$36)</f>
        <v>0.31314473160787965</v>
      </c>
      <c r="Y8" s="7">
        <f>V8*($V$36/$X$36)*($AA$36/$Y$36)</f>
        <v>0.14432676238470296</v>
      </c>
      <c r="AA8" s="1">
        <v>14.25</v>
      </c>
      <c r="AC8" s="8">
        <f>AA8*($V$36/$Y$36)</f>
        <v>5.6058778234086235</v>
      </c>
      <c r="AE8" s="1">
        <v>0.5</v>
      </c>
      <c r="AG8" s="8">
        <f t="shared" si="0"/>
        <v>4.5623136114599774</v>
      </c>
      <c r="AI8" s="9">
        <f t="shared" si="1"/>
        <v>45623.136114599773</v>
      </c>
    </row>
    <row r="9" spans="1:35" x14ac:dyDescent="0.25">
      <c r="A9" s="1">
        <v>7</v>
      </c>
      <c r="B9" s="1" t="s">
        <v>168</v>
      </c>
      <c r="C9" s="1">
        <v>22565054</v>
      </c>
      <c r="D9" s="1">
        <v>7394972</v>
      </c>
      <c r="E9" s="1">
        <v>1685.6669921875</v>
      </c>
      <c r="G9" s="1">
        <f>D9/$C9</f>
        <v>0.32771789511339083</v>
      </c>
      <c r="H9" s="6">
        <f>E9/$C9</f>
        <v>7.47025463438953E-5</v>
      </c>
      <c r="K9" s="1">
        <v>7</v>
      </c>
      <c r="L9" s="1" t="s">
        <v>168</v>
      </c>
      <c r="M9" s="4">
        <v>8138.0986328125</v>
      </c>
      <c r="N9" s="4">
        <v>6825.55322265625</v>
      </c>
      <c r="O9" s="4">
        <v>9.9598894119262695</v>
      </c>
      <c r="Q9" s="1">
        <f>N9/$M9</f>
        <v>0.83871596187540443</v>
      </c>
      <c r="R9" s="1">
        <f>O9/$M9</f>
        <v>1.2238595108405763E-3</v>
      </c>
      <c r="U9" s="1">
        <f>G9/Q9</f>
        <v>0.39073763945138201</v>
      </c>
      <c r="V9" s="1">
        <f>H9/R9</f>
        <v>6.1038498032006783E-2</v>
      </c>
      <c r="X9" s="7">
        <f>U9*($V$36/$W$36)*($Z$36/$Y$36)</f>
        <v>0.29307913621818654</v>
      </c>
      <c r="Y9" s="7">
        <f>V9*($V$36/$X$36)*($AA$36/$Y$36)</f>
        <v>6.6488970741569009E-2</v>
      </c>
      <c r="AA9" s="1">
        <v>14.25</v>
      </c>
      <c r="AC9" s="8">
        <f>AA9*($V$36/$Y$36)</f>
        <v>5.6058778234086235</v>
      </c>
      <c r="AE9" s="1">
        <v>0.5</v>
      </c>
      <c r="AG9" s="8">
        <f t="shared" si="0"/>
        <v>4.7516134896666804</v>
      </c>
      <c r="AI9" s="9">
        <f t="shared" si="1"/>
        <v>47516.134896666801</v>
      </c>
    </row>
    <row r="10" spans="1:35" x14ac:dyDescent="0.25">
      <c r="A10" s="1">
        <v>8</v>
      </c>
      <c r="B10" s="1" t="s">
        <v>169</v>
      </c>
      <c r="C10" s="1">
        <v>18872682</v>
      </c>
      <c r="D10" s="1">
        <v>6136498</v>
      </c>
      <c r="E10" s="1">
        <v>2160.21337890625</v>
      </c>
      <c r="G10" s="1">
        <f>D10/$C10</f>
        <v>0.32515240812090196</v>
      </c>
      <c r="H10" s="6">
        <f>E10/$C10</f>
        <v>1.1446244783365978E-4</v>
      </c>
      <c r="K10" s="1">
        <v>8</v>
      </c>
      <c r="L10" s="1" t="s">
        <v>169</v>
      </c>
      <c r="M10" s="4">
        <v>8208.6748046875</v>
      </c>
      <c r="N10" s="4">
        <v>6886.58642578125</v>
      </c>
      <c r="O10" s="4">
        <v>10.04621696472168</v>
      </c>
      <c r="Q10" s="1">
        <f>N10/$M10</f>
        <v>0.83894009564719485</v>
      </c>
      <c r="R10" s="1">
        <f>O10/$M10</f>
        <v>1.2238536918267081E-3</v>
      </c>
      <c r="U10" s="1">
        <f>G10/Q10</f>
        <v>0.38757523905215813</v>
      </c>
      <c r="V10" s="1">
        <f>H10/R10</f>
        <v>9.3526251216201034E-2</v>
      </c>
      <c r="X10" s="7">
        <f>U10*($V$36/$W$36)*($Z$36/$Y$36)</f>
        <v>0.29070712624576128</v>
      </c>
      <c r="Y10" s="7">
        <f>V10*($V$36/$X$36)*($AA$36/$Y$36)</f>
        <v>0.1018777391511476</v>
      </c>
      <c r="AA10" s="1">
        <v>14.25</v>
      </c>
      <c r="AC10" s="8">
        <f>AA10*($V$36/$Y$36)</f>
        <v>5.6058778234086235</v>
      </c>
      <c r="AE10" s="1">
        <v>0.5</v>
      </c>
      <c r="AG10" s="8">
        <f t="shared" si="0"/>
        <v>4.6860430361191447</v>
      </c>
      <c r="AI10" s="9">
        <f t="shared" si="1"/>
        <v>46860.430361191451</v>
      </c>
    </row>
    <row r="11" spans="1:35" x14ac:dyDescent="0.25">
      <c r="A11" s="1">
        <v>9</v>
      </c>
      <c r="B11" s="1" t="s">
        <v>170</v>
      </c>
      <c r="C11" s="1">
        <v>13131842</v>
      </c>
      <c r="D11" s="1">
        <v>4264995</v>
      </c>
      <c r="E11" s="1">
        <v>2216.927001953125</v>
      </c>
      <c r="G11" s="1">
        <f>D11/$C11</f>
        <v>0.32478269232907309</v>
      </c>
      <c r="H11" s="6">
        <f>E11/$C11</f>
        <v>1.6882071852167616E-4</v>
      </c>
      <c r="K11" s="1">
        <v>9</v>
      </c>
      <c r="L11" s="1" t="s">
        <v>170</v>
      </c>
      <c r="M11" s="4">
        <v>8279.251953125</v>
      </c>
      <c r="N11" s="4">
        <v>6947.6201171875</v>
      </c>
      <c r="O11" s="4">
        <v>10.13254451751709</v>
      </c>
      <c r="Q11" s="1">
        <f>N11/$M11</f>
        <v>0.83916036817373629</v>
      </c>
      <c r="R11" s="1">
        <f>O11/$M11</f>
        <v>1.2238478276642571E-3</v>
      </c>
      <c r="U11" s="1">
        <f>G11/Q11</f>
        <v>0.38703292558476904</v>
      </c>
      <c r="V11" s="1">
        <f>H11/R11</f>
        <v>0.13794257317421116</v>
      </c>
      <c r="X11" s="7">
        <f>U11*($V$36/$W$36)*($Z$36/$Y$36)</f>
        <v>0.29030035518883152</v>
      </c>
      <c r="Y11" s="7">
        <f>V11*($V$36/$X$36)*($AA$36/$Y$36)</f>
        <v>0.15026024570571053</v>
      </c>
      <c r="AA11" s="1">
        <v>14.25</v>
      </c>
      <c r="AC11" s="8">
        <f>AA11*($V$36/$Y$36)</f>
        <v>5.6058778234086235</v>
      </c>
      <c r="AE11" s="1">
        <v>0.5</v>
      </c>
      <c r="AG11" s="8">
        <f t="shared" si="0"/>
        <v>4.5939263473760032</v>
      </c>
      <c r="AI11" s="9">
        <f t="shared" si="1"/>
        <v>45939.263473760031</v>
      </c>
    </row>
    <row r="12" spans="1:35" x14ac:dyDescent="0.25">
      <c r="A12" s="1">
        <v>10</v>
      </c>
      <c r="B12" s="1" t="s">
        <v>171</v>
      </c>
      <c r="C12" s="1">
        <v>38800828</v>
      </c>
      <c r="D12" s="1">
        <v>12345128</v>
      </c>
      <c r="E12" s="1">
        <v>4521.46044921875</v>
      </c>
      <c r="G12" s="1">
        <f>D12/$C12</f>
        <v>0.31816661232074739</v>
      </c>
      <c r="H12" s="6">
        <f>E12/$C12</f>
        <v>1.1652999903040084E-4</v>
      </c>
      <c r="K12" s="1">
        <v>10</v>
      </c>
      <c r="L12" s="1" t="s">
        <v>171</v>
      </c>
      <c r="M12" s="4">
        <v>8349.828125</v>
      </c>
      <c r="N12" s="4">
        <v>7008.6533203125</v>
      </c>
      <c r="O12" s="4">
        <v>10.2188720703125</v>
      </c>
      <c r="Q12" s="1">
        <f>N12/$M12</f>
        <v>0.83937695667388368</v>
      </c>
      <c r="R12" s="1">
        <f>O12/$M12</f>
        <v>1.223842205771451E-3</v>
      </c>
      <c r="U12" s="1">
        <f>G12/Q12</f>
        <v>0.37905092555973285</v>
      </c>
      <c r="V12" s="1">
        <f>H12/R12</f>
        <v>9.5216522588339694E-2</v>
      </c>
      <c r="X12" s="7">
        <f>U12*($V$36/$W$36)*($Z$36/$Y$36)</f>
        <v>0.28431332594865966</v>
      </c>
      <c r="Y12" s="7">
        <f>V12*($V$36/$X$36)*($AA$36/$Y$36)</f>
        <v>0.10371894441390665</v>
      </c>
      <c r="AA12" s="1">
        <v>14.25</v>
      </c>
      <c r="AC12" s="8">
        <f>AA12*($V$36/$Y$36)</f>
        <v>5.6058778234086235</v>
      </c>
      <c r="AE12" s="1">
        <v>0.5</v>
      </c>
      <c r="AG12" s="8">
        <f t="shared" si="0"/>
        <v>4.6949766072947607</v>
      </c>
      <c r="AI12" s="9">
        <f t="shared" si="1"/>
        <v>46949.766072947605</v>
      </c>
    </row>
    <row r="13" spans="1:35" x14ac:dyDescent="0.25">
      <c r="A13" s="1">
        <v>11</v>
      </c>
      <c r="B13" s="1" t="s">
        <v>172</v>
      </c>
      <c r="C13" s="1">
        <v>41698852</v>
      </c>
      <c r="D13" s="1">
        <v>10698573</v>
      </c>
      <c r="E13" s="1">
        <v>2996.128662109375</v>
      </c>
      <c r="G13" s="1">
        <f>D13/$C13</f>
        <v>0.25656756689608623</v>
      </c>
      <c r="H13" s="6">
        <f>E13/$C13</f>
        <v>7.1851586276508881E-5</v>
      </c>
      <c r="K13" s="1">
        <v>11</v>
      </c>
      <c r="L13" s="1" t="s">
        <v>172</v>
      </c>
      <c r="M13" s="4">
        <v>8420.4052734375</v>
      </c>
      <c r="N13" s="4">
        <v>7069.68701171875</v>
      </c>
      <c r="O13" s="4">
        <v>10.30519962310791</v>
      </c>
      <c r="Q13" s="1">
        <f>N13/$M13</f>
        <v>0.83958987508835903</v>
      </c>
      <c r="R13" s="1">
        <f>O13/$M13</f>
        <v>1.2238365361838424E-3</v>
      </c>
      <c r="U13" s="1">
        <f>G13/Q13</f>
        <v>0.30558678053267957</v>
      </c>
      <c r="V13" s="1">
        <f>H13/R13</f>
        <v>5.8710117039450331E-2</v>
      </c>
      <c r="X13" s="7">
        <f>U13*($V$36/$W$36)*($Z$36/$Y$36)</f>
        <v>0.22921034636940324</v>
      </c>
      <c r="Y13" s="7">
        <f>V13*($V$36/$X$36)*($AA$36/$Y$36)</f>
        <v>6.3952675441377768E-2</v>
      </c>
      <c r="AA13" s="1">
        <v>14.25</v>
      </c>
      <c r="AC13" s="8">
        <f>AA13*($V$36/$Y$36)</f>
        <v>5.6058778234086235</v>
      </c>
      <c r="AE13" s="1">
        <v>0.5</v>
      </c>
      <c r="AG13" s="8">
        <f t="shared" si="0"/>
        <v>4.8892100300675345</v>
      </c>
      <c r="AI13" s="9">
        <f t="shared" si="1"/>
        <v>48892.100300675345</v>
      </c>
    </row>
    <row r="14" spans="1:35" x14ac:dyDescent="0.25">
      <c r="A14" s="1">
        <v>12</v>
      </c>
      <c r="B14" s="1" t="s">
        <v>173</v>
      </c>
      <c r="C14" s="1">
        <v>22766310</v>
      </c>
      <c r="D14" s="1">
        <v>8388934</v>
      </c>
      <c r="E14" s="1">
        <v>1990.7559814453125</v>
      </c>
      <c r="G14" s="1">
        <f>D14/$C14</f>
        <v>0.36848017970413299</v>
      </c>
      <c r="H14" s="6">
        <f>E14/$C14</f>
        <v>8.7443067473179113E-5</v>
      </c>
      <c r="K14" s="1">
        <v>12</v>
      </c>
      <c r="L14" s="1" t="s">
        <v>173</v>
      </c>
      <c r="M14" s="4">
        <v>8490.9814453125</v>
      </c>
      <c r="N14" s="4">
        <v>7130.72021484375</v>
      </c>
      <c r="O14" s="4">
        <v>10.39152717590332</v>
      </c>
      <c r="Q14" s="1">
        <f>N14/$M14</f>
        <v>0.83979929302287071</v>
      </c>
      <c r="R14" s="1">
        <f>O14/$M14</f>
        <v>1.223831101602516E-3</v>
      </c>
      <c r="U14" s="1">
        <f>G14/Q14</f>
        <v>0.43877171934472914</v>
      </c>
      <c r="V14" s="1">
        <f>H14/R14</f>
        <v>7.1450273946036272E-2</v>
      </c>
      <c r="X14" s="7">
        <f>U14*($V$36/$W$36)*($Z$36/$Y$36)</f>
        <v>0.32910788088671544</v>
      </c>
      <c r="Y14" s="7">
        <f>V14*($V$36/$X$36)*($AA$36/$Y$36)</f>
        <v>7.7830473013670701E-2</v>
      </c>
      <c r="AA14" s="1">
        <v>14.25</v>
      </c>
      <c r="AC14" s="8">
        <f>AA14*($V$36/$Y$36)</f>
        <v>5.6058778234086235</v>
      </c>
      <c r="AE14" s="1">
        <v>0.5</v>
      </c>
      <c r="AG14" s="8">
        <f t="shared" si="0"/>
        <v>4.6580983798977922</v>
      </c>
      <c r="AI14" s="9">
        <f t="shared" si="1"/>
        <v>46580.983798977919</v>
      </c>
    </row>
    <row r="15" spans="1:35" x14ac:dyDescent="0.25">
      <c r="A15" s="1">
        <v>13</v>
      </c>
      <c r="B15" s="1" t="s">
        <v>174</v>
      </c>
      <c r="C15" s="1">
        <v>16473206</v>
      </c>
      <c r="D15" s="1">
        <v>5120659</v>
      </c>
      <c r="E15" s="1">
        <v>2662.49658203125</v>
      </c>
      <c r="G15" s="1">
        <f>D15/$C15</f>
        <v>0.31084774876244492</v>
      </c>
      <c r="H15" s="6">
        <f>E15/$C15</f>
        <v>1.6162589006846938E-4</v>
      </c>
      <c r="K15" s="1">
        <v>13</v>
      </c>
      <c r="L15" s="1" t="s">
        <v>174</v>
      </c>
      <c r="M15" s="4">
        <v>8561.55859375</v>
      </c>
      <c r="N15" s="4">
        <v>7191.75390625</v>
      </c>
      <c r="O15" s="4">
        <v>10.47785472869873</v>
      </c>
      <c r="Q15" s="1">
        <f>N15/$M15</f>
        <v>0.84000521955196716</v>
      </c>
      <c r="R15" s="1">
        <f>O15/$M15</f>
        <v>1.2238256170258113E-3</v>
      </c>
      <c r="U15" s="1">
        <f>G15/Q15</f>
        <v>0.37005454433752388</v>
      </c>
      <c r="V15" s="1">
        <f>H15/R15</f>
        <v>0.13206611123344428</v>
      </c>
      <c r="X15" s="7">
        <f>U15*($V$36/$W$36)*($Z$36/$Y$36)</f>
        <v>0.27756544355525492</v>
      </c>
      <c r="Y15" s="7">
        <f>V15*($V$36/$X$36)*($AA$36/$Y$36)</f>
        <v>0.14385904124227974</v>
      </c>
      <c r="AA15" s="1">
        <v>14.25</v>
      </c>
      <c r="AC15" s="8">
        <f>AA15*($V$36/$Y$36)</f>
        <v>5.6058778234086235</v>
      </c>
      <c r="AE15" s="1">
        <v>0.5</v>
      </c>
      <c r="AG15" s="8">
        <f t="shared" si="0"/>
        <v>4.6302313853717845</v>
      </c>
      <c r="AI15" s="9">
        <f t="shared" si="1"/>
        <v>46302.313853717846</v>
      </c>
    </row>
    <row r="16" spans="1:35" x14ac:dyDescent="0.25">
      <c r="A16" s="1">
        <v>14</v>
      </c>
      <c r="B16" s="1" t="s">
        <v>175</v>
      </c>
      <c r="C16" s="1">
        <v>19574260</v>
      </c>
      <c r="D16" s="1">
        <v>6528292.5</v>
      </c>
      <c r="E16" s="1">
        <v>2772.12890625</v>
      </c>
      <c r="G16" s="1">
        <f>D16/$C16</f>
        <v>0.3335141405090154</v>
      </c>
      <c r="H16" s="6">
        <f>E16/$C16</f>
        <v>1.4162113440048307E-4</v>
      </c>
      <c r="K16" s="1">
        <v>14</v>
      </c>
      <c r="L16" s="1" t="s">
        <v>175</v>
      </c>
      <c r="M16" s="4">
        <v>8632.134765625</v>
      </c>
      <c r="N16" s="4">
        <v>7252.787109375</v>
      </c>
      <c r="O16" s="4">
        <v>10.564182281494141</v>
      </c>
      <c r="Q16" s="1">
        <f>N16/$M16</f>
        <v>0.84020781722003968</v>
      </c>
      <c r="R16" s="1">
        <f>O16/$M16</f>
        <v>1.2238203605860008E-3</v>
      </c>
      <c r="U16" s="1">
        <f>G16/Q16</f>
        <v>0.39694243932709367</v>
      </c>
      <c r="V16" s="1">
        <f>H16/R16</f>
        <v>0.11572052481025136</v>
      </c>
      <c r="X16" s="7">
        <f>U16*($V$36/$W$36)*($Z$36/$Y$36)</f>
        <v>0.29773314751470142</v>
      </c>
      <c r="Y16" s="7">
        <f>V16*($V$36/$X$36)*($AA$36/$Y$36)</f>
        <v>0.12605386496032772</v>
      </c>
      <c r="AA16" s="1">
        <v>14.25</v>
      </c>
      <c r="AC16" s="8">
        <f>AA16*($V$36/$Y$36)</f>
        <v>5.6058778234086235</v>
      </c>
      <c r="AE16" s="1">
        <v>0.5</v>
      </c>
      <c r="AG16" s="8">
        <f t="shared" si="0"/>
        <v>4.6257181794898967</v>
      </c>
      <c r="AI16" s="9">
        <f t="shared" si="1"/>
        <v>46257.18179489897</v>
      </c>
    </row>
    <row r="17" spans="1:35" x14ac:dyDescent="0.25">
      <c r="A17" s="1">
        <v>15</v>
      </c>
      <c r="B17" s="1" t="s">
        <v>176</v>
      </c>
      <c r="C17" s="1">
        <v>25739138</v>
      </c>
      <c r="D17" s="1">
        <v>8372959.5</v>
      </c>
      <c r="E17" s="1">
        <v>2571.01318359375</v>
      </c>
      <c r="G17" s="1">
        <f>D17/$C17</f>
        <v>0.32530069577310633</v>
      </c>
      <c r="H17" s="6">
        <f>E17/$C17</f>
        <v>9.9887307165987836E-5</v>
      </c>
      <c r="K17" s="1">
        <v>15</v>
      </c>
      <c r="L17" s="1" t="s">
        <v>176</v>
      </c>
      <c r="M17" s="4">
        <v>8702.7119140625</v>
      </c>
      <c r="N17" s="4">
        <v>7313.82080078125</v>
      </c>
      <c r="O17" s="4">
        <v>10.650509834289551</v>
      </c>
      <c r="Q17" s="1">
        <f>N17/$M17</f>
        <v>0.84040709068664277</v>
      </c>
      <c r="R17" s="1">
        <f>O17/$M17</f>
        <v>1.2238150520735556E-3</v>
      </c>
      <c r="U17" s="1">
        <f>G17/Q17</f>
        <v>0.38707514415106137</v>
      </c>
      <c r="V17" s="1">
        <f>H17/R17</f>
        <v>8.1619609921241801E-2</v>
      </c>
      <c r="X17" s="7">
        <f>U17*($V$36/$W$36)*($Z$36/$Y$36)</f>
        <v>0.29033202191271995</v>
      </c>
      <c r="Y17" s="7">
        <f>V17*($V$36/$X$36)*($AA$36/$Y$36)</f>
        <v>8.8907886513624024E-2</v>
      </c>
      <c r="AA17" s="1">
        <v>14.25</v>
      </c>
      <c r="AC17" s="8">
        <f>AA17*($V$36/$Y$36)</f>
        <v>5.6058778234086235</v>
      </c>
      <c r="AE17" s="1">
        <v>0.5</v>
      </c>
      <c r="AG17" s="8">
        <f t="shared" si="0"/>
        <v>4.7123266582363392</v>
      </c>
      <c r="AI17" s="9">
        <f t="shared" si="1"/>
        <v>47123.266582363394</v>
      </c>
    </row>
    <row r="18" spans="1:35" x14ac:dyDescent="0.25">
      <c r="A18" s="1">
        <v>16</v>
      </c>
      <c r="B18" s="1" t="s">
        <v>177</v>
      </c>
      <c r="C18" s="1">
        <v>15122978</v>
      </c>
      <c r="D18" s="1">
        <v>5205534</v>
      </c>
      <c r="E18" s="1">
        <v>2847.4736328125</v>
      </c>
      <c r="G18" s="1">
        <f>D18/$C18</f>
        <v>0.34421355370615497</v>
      </c>
      <c r="H18" s="6">
        <f>E18/$C18</f>
        <v>1.8828789097044907E-4</v>
      </c>
      <c r="K18" s="1">
        <v>16</v>
      </c>
      <c r="L18" s="1" t="s">
        <v>177</v>
      </c>
      <c r="M18" s="4">
        <v>8773.2880859375</v>
      </c>
      <c r="N18" s="4">
        <v>7374.85400390625</v>
      </c>
      <c r="O18" s="4">
        <v>10.736837387084961</v>
      </c>
      <c r="Q18" s="1">
        <f>N18/$M18</f>
        <v>0.84060319593599486</v>
      </c>
      <c r="R18" s="1">
        <f>O18/$M18</f>
        <v>1.2238099651936413E-3</v>
      </c>
      <c r="U18" s="1">
        <f>G18/Q18</f>
        <v>0.40948399360161847</v>
      </c>
      <c r="V18" s="1">
        <f>H18/R18</f>
        <v>0.15385386320224692</v>
      </c>
      <c r="X18" s="7">
        <f>U18*($V$36/$W$36)*($Z$36/$Y$36)</f>
        <v>0.30714014474888668</v>
      </c>
      <c r="Y18" s="7">
        <f>V18*($V$36/$X$36)*($AA$36/$Y$36)</f>
        <v>0.16759234481109717</v>
      </c>
      <c r="AA18" s="1">
        <v>14.25</v>
      </c>
      <c r="AC18" s="8">
        <f>AA18*($V$36/$Y$36)</f>
        <v>5.6058778234086235</v>
      </c>
      <c r="AE18" s="1">
        <v>0.5</v>
      </c>
      <c r="AG18" s="8">
        <f t="shared" si="0"/>
        <v>4.5304919598848183</v>
      </c>
      <c r="AI18" s="9">
        <f t="shared" si="1"/>
        <v>45304.919598848181</v>
      </c>
    </row>
    <row r="19" spans="1:35" x14ac:dyDescent="0.25">
      <c r="A19" s="1">
        <v>17</v>
      </c>
      <c r="B19" s="1" t="s">
        <v>178</v>
      </c>
      <c r="C19" s="1">
        <v>33918148</v>
      </c>
      <c r="D19" s="1">
        <v>11126194</v>
      </c>
      <c r="E19" s="1">
        <v>3237.333251953125</v>
      </c>
      <c r="G19" s="1">
        <f>D19/$C19</f>
        <v>0.32803070497834963</v>
      </c>
      <c r="H19" s="6">
        <f>E19/$C19</f>
        <v>9.5445460405241619E-5</v>
      </c>
      <c r="K19" s="1">
        <v>17</v>
      </c>
      <c r="L19" s="1" t="s">
        <v>178</v>
      </c>
      <c r="M19" s="4">
        <v>8843.865234375</v>
      </c>
      <c r="N19" s="4">
        <v>7435.8876953125</v>
      </c>
      <c r="O19" s="4">
        <v>10.823164939880371</v>
      </c>
      <c r="Q19" s="1">
        <f>N19/$M19</f>
        <v>0.84079613361928363</v>
      </c>
      <c r="R19" s="1">
        <f>O19/$M19</f>
        <v>1.2238048243670744E-3</v>
      </c>
      <c r="U19" s="1">
        <f>G19/Q19</f>
        <v>0.39014297504712769</v>
      </c>
      <c r="V19" s="1">
        <f>H19/R19</f>
        <v>7.7990753513007244E-2</v>
      </c>
      <c r="X19" s="7">
        <f>U19*($V$36/$W$36)*($Z$36/$Y$36)</f>
        <v>0.29263309848764374</v>
      </c>
      <c r="Y19" s="7">
        <f>V19*($V$36/$X$36)*($AA$36/$Y$36)</f>
        <v>8.4954988992686595E-2</v>
      </c>
      <c r="AA19" s="1">
        <v>14.25</v>
      </c>
      <c r="AC19" s="8">
        <f>AA19*($V$36/$Y$36)</f>
        <v>5.6058778234086235</v>
      </c>
      <c r="AE19" s="1">
        <v>0.5</v>
      </c>
      <c r="AG19" s="8">
        <f t="shared" si="0"/>
        <v>4.7156005305776088</v>
      </c>
      <c r="AI19" s="9">
        <f t="shared" si="1"/>
        <v>47156.005305776089</v>
      </c>
    </row>
    <row r="20" spans="1:35" x14ac:dyDescent="0.25">
      <c r="A20" s="1">
        <v>18</v>
      </c>
      <c r="B20" s="1" t="s">
        <v>179</v>
      </c>
      <c r="C20" s="1">
        <v>58158104</v>
      </c>
      <c r="D20" s="1">
        <v>19914016</v>
      </c>
      <c r="E20" s="1">
        <v>10909.279296875</v>
      </c>
      <c r="G20" s="1">
        <f>D20/$C20</f>
        <v>0.34241171273396398</v>
      </c>
      <c r="H20" s="6">
        <f>E20/$C20</f>
        <v>1.8757969305318139E-4</v>
      </c>
      <c r="K20" s="1">
        <v>18</v>
      </c>
      <c r="L20" s="1" t="s">
        <v>179</v>
      </c>
      <c r="M20" s="4">
        <v>8914.44140625</v>
      </c>
      <c r="N20" s="4">
        <v>7496.9208984375</v>
      </c>
      <c r="O20" s="4">
        <v>10.909492492675781</v>
      </c>
      <c r="Q20" s="1">
        <f>N20/$M20</f>
        <v>0.84098605361647638</v>
      </c>
      <c r="R20" s="1">
        <f>O20/$M20</f>
        <v>1.2237998990073603E-3</v>
      </c>
      <c r="U20" s="1">
        <f>G20/Q20</f>
        <v>0.40715504289458476</v>
      </c>
      <c r="V20" s="1">
        <f>H20/R20</f>
        <v>0.15327644103037569</v>
      </c>
      <c r="X20" s="7">
        <f>U20*($V$36/$W$36)*($Z$36/$Y$36)</f>
        <v>0.30539327730486326</v>
      </c>
      <c r="Y20" s="7">
        <f>V20*($V$36/$X$36)*($AA$36/$Y$36)</f>
        <v>0.1669633613477271</v>
      </c>
      <c r="AA20" s="1">
        <v>14.25</v>
      </c>
      <c r="AC20" s="8">
        <f>AA20*($V$36/$Y$36)</f>
        <v>5.6058778234086235</v>
      </c>
      <c r="AE20" s="1">
        <v>0.5</v>
      </c>
      <c r="AG20" s="8">
        <f t="shared" si="0"/>
        <v>4.5348456090572524</v>
      </c>
      <c r="AI20" s="9">
        <f t="shared" si="1"/>
        <v>45348.456090572523</v>
      </c>
    </row>
    <row r="21" spans="1:35" x14ac:dyDescent="0.25">
      <c r="A21" s="1">
        <v>19</v>
      </c>
      <c r="B21" s="1" t="s">
        <v>180</v>
      </c>
      <c r="C21" s="1">
        <v>15733414</v>
      </c>
      <c r="D21" s="1">
        <v>4932518</v>
      </c>
      <c r="E21" s="1">
        <v>2368.58203125</v>
      </c>
      <c r="G21" s="1">
        <f>D21/$C21</f>
        <v>0.31350589261809292</v>
      </c>
      <c r="H21" s="6">
        <f>E21/$C21</f>
        <v>1.5054469622740493E-4</v>
      </c>
      <c r="K21" s="1">
        <v>19</v>
      </c>
      <c r="L21" s="1" t="s">
        <v>180</v>
      </c>
      <c r="M21" s="4">
        <v>8985.0185546875</v>
      </c>
      <c r="N21" s="4">
        <v>7557.95458984375</v>
      </c>
      <c r="O21" s="4">
        <v>10.995820045471191</v>
      </c>
      <c r="Q21" s="1">
        <f>N21/$M21</f>
        <v>0.8411729529373928</v>
      </c>
      <c r="R21" s="1">
        <f>O21/$M21</f>
        <v>1.2237949180121228E-3</v>
      </c>
      <c r="U21" s="1">
        <f>G21/Q21</f>
        <v>0.37270087147158509</v>
      </c>
      <c r="V21" s="1">
        <f>H21/R21</f>
        <v>0.12301464404832056</v>
      </c>
      <c r="X21" s="7">
        <f>U21*($V$36/$W$36)*($Z$36/$Y$36)</f>
        <v>0.27955036436219427</v>
      </c>
      <c r="Y21" s="7">
        <f>V21*($V$36/$X$36)*($AA$36/$Y$36)</f>
        <v>0.13399931735909401</v>
      </c>
      <c r="AA21" s="1">
        <v>14.25</v>
      </c>
      <c r="AC21" s="8">
        <f>AA21*($V$36/$Y$36)</f>
        <v>5.6058778234086235</v>
      </c>
      <c r="AE21" s="1">
        <v>0.5</v>
      </c>
      <c r="AG21" s="8">
        <f t="shared" si="0"/>
        <v>4.645338661030288</v>
      </c>
      <c r="AI21" s="9">
        <f t="shared" si="1"/>
        <v>46453.386610302878</v>
      </c>
    </row>
    <row r="22" spans="1:35" x14ac:dyDescent="0.25">
      <c r="A22" s="1">
        <v>20</v>
      </c>
      <c r="B22" s="1" t="s">
        <v>181</v>
      </c>
      <c r="C22" s="1">
        <v>14240101</v>
      </c>
      <c r="D22" s="1">
        <v>4326699</v>
      </c>
      <c r="E22" s="1">
        <v>2516.935791015625</v>
      </c>
      <c r="G22" s="1">
        <f>D22/$C22</f>
        <v>0.30383906687178691</v>
      </c>
      <c r="H22" s="6">
        <f>E22/$C22</f>
        <v>1.7674985528653379E-4</v>
      </c>
      <c r="K22" s="1">
        <v>20</v>
      </c>
      <c r="L22" s="1" t="s">
        <v>181</v>
      </c>
      <c r="M22" s="4">
        <v>9055.5947265625</v>
      </c>
      <c r="N22" s="4">
        <v>7618.98779296875</v>
      </c>
      <c r="O22" s="4">
        <v>11.082146644592285</v>
      </c>
      <c r="Q22" s="1">
        <f>N22/$M22</f>
        <v>0.84135697577324275</v>
      </c>
      <c r="R22" s="1">
        <f>O22/$M22</f>
        <v>1.2237900413194687E-3</v>
      </c>
      <c r="U22" s="1">
        <f>G22/Q22</f>
        <v>0.36112978868754958</v>
      </c>
      <c r="V22" s="1">
        <f>H22/R22</f>
        <v>0.14442825102250811</v>
      </c>
      <c r="X22" s="7">
        <f>U22*($V$36/$W$36)*($Z$36/$Y$36)</f>
        <v>0.27087128508993435</v>
      </c>
      <c r="Y22" s="7">
        <f>V22*($V$36/$X$36)*($AA$36/$Y$36)</f>
        <v>0.15732506641064556</v>
      </c>
      <c r="AA22" s="1">
        <v>14.25</v>
      </c>
      <c r="AC22" s="8">
        <f>AA22*($V$36/$Y$36)</f>
        <v>5.6058778234086235</v>
      </c>
      <c r="AE22" s="1">
        <v>0.5</v>
      </c>
      <c r="AG22" s="8">
        <f t="shared" si="0"/>
        <v>4.6173183811468093</v>
      </c>
      <c r="AI22" s="9">
        <f t="shared" si="1"/>
        <v>46173.183811468094</v>
      </c>
    </row>
    <row r="23" spans="1:35" x14ac:dyDescent="0.25">
      <c r="A23" s="1">
        <v>21</v>
      </c>
      <c r="B23" s="1" t="s">
        <v>182</v>
      </c>
      <c r="C23" s="1">
        <v>38250760</v>
      </c>
      <c r="D23" s="1">
        <v>12838347</v>
      </c>
      <c r="E23" s="1">
        <v>5631.53076171875</v>
      </c>
      <c r="G23" s="1">
        <f>D23/$C23</f>
        <v>0.33563638996976791</v>
      </c>
      <c r="H23" s="6">
        <f>E23/$C23</f>
        <v>1.4722663711044565E-4</v>
      </c>
      <c r="K23" s="1">
        <v>21</v>
      </c>
      <c r="L23" s="1" t="s">
        <v>182</v>
      </c>
      <c r="M23" s="4">
        <v>9126.171875</v>
      </c>
      <c r="N23" s="4">
        <v>7680.021484375</v>
      </c>
      <c r="O23" s="4">
        <v>11.168474197387695</v>
      </c>
      <c r="Q23" s="1">
        <f>N23/$M23</f>
        <v>0.84153811582416638</v>
      </c>
      <c r="R23" s="1">
        <f>O23/$M23</f>
        <v>1.2237852135989599E-3</v>
      </c>
      <c r="U23" s="1">
        <f>G23/Q23</f>
        <v>0.39883682468863579</v>
      </c>
      <c r="V23" s="1">
        <f>H23/R23</f>
        <v>0.12030431114417149</v>
      </c>
      <c r="X23" s="7">
        <f>U23*($V$36/$W$36)*($Z$36/$Y$36)</f>
        <v>0.29915406213711832</v>
      </c>
      <c r="Y23" s="7">
        <f>V23*($V$36/$X$36)*($AA$36/$Y$36)</f>
        <v>0.13104696350088826</v>
      </c>
      <c r="AA23" s="1">
        <v>14.25</v>
      </c>
      <c r="AC23" s="8">
        <f>AA23*($V$36/$Y$36)</f>
        <v>5.6058778234086235</v>
      </c>
      <c r="AE23" s="1">
        <v>0.5</v>
      </c>
      <c r="AG23" s="8">
        <f t="shared" si="0"/>
        <v>4.6135095527226175</v>
      </c>
      <c r="AI23" s="9">
        <f t="shared" si="1"/>
        <v>46135.095527226178</v>
      </c>
    </row>
    <row r="24" spans="1:35" x14ac:dyDescent="0.25">
      <c r="A24" s="1">
        <v>22</v>
      </c>
      <c r="B24" s="1" t="s">
        <v>183</v>
      </c>
      <c r="C24" s="1">
        <v>22793870</v>
      </c>
      <c r="D24" s="1">
        <v>8720617</v>
      </c>
      <c r="E24" s="1">
        <v>2077.72802734375</v>
      </c>
      <c r="G24" s="1">
        <f>D24/$C24</f>
        <v>0.38258606370923409</v>
      </c>
      <c r="H24" s="6">
        <f>E24/$C24</f>
        <v>9.1152929596586716E-5</v>
      </c>
      <c r="K24" s="1">
        <v>22</v>
      </c>
      <c r="L24" s="1" t="s">
        <v>183</v>
      </c>
      <c r="M24" s="4">
        <v>9196.748046875</v>
      </c>
      <c r="N24" s="4">
        <v>7741.0546875</v>
      </c>
      <c r="O24" s="4">
        <v>11.254801750183105</v>
      </c>
      <c r="Q24" s="1">
        <f>N24/$M24</f>
        <v>0.84171651197189901</v>
      </c>
      <c r="R24" s="1">
        <f>O24/$M24</f>
        <v>1.2237805899235675E-3</v>
      </c>
      <c r="U24" s="1">
        <f>G24/Q24</f>
        <v>0.45453078116876344</v>
      </c>
      <c r="V24" s="1">
        <f>H24/R24</f>
        <v>7.4484699583509298E-2</v>
      </c>
      <c r="X24" s="7">
        <f>U24*($V$36/$W$36)*($Z$36/$Y$36)</f>
        <v>0.34092822210974638</v>
      </c>
      <c r="Y24" s="7">
        <f>V24*($V$36/$X$36)*($AA$36/$Y$36)</f>
        <v>8.1135859678355932E-2</v>
      </c>
      <c r="AA24" s="1">
        <v>14.25</v>
      </c>
      <c r="AC24" s="8">
        <f>AA24*($V$36/$Y$36)</f>
        <v>5.6058778234086235</v>
      </c>
      <c r="AE24" s="1">
        <v>0.5</v>
      </c>
      <c r="AG24" s="8">
        <f t="shared" si="0"/>
        <v>4.6290086753361646</v>
      </c>
      <c r="AI24" s="9">
        <f t="shared" si="1"/>
        <v>46290.086753361647</v>
      </c>
    </row>
    <row r="25" spans="1:35" x14ac:dyDescent="0.25">
      <c r="A25" s="1">
        <v>23</v>
      </c>
      <c r="B25" s="1" t="s">
        <v>184</v>
      </c>
      <c r="C25" s="1">
        <v>16472050</v>
      </c>
      <c r="D25" s="1">
        <v>5423708.5</v>
      </c>
      <c r="E25" s="1">
        <v>2798.2177734375</v>
      </c>
      <c r="G25" s="1">
        <f>D25/$C25</f>
        <v>0.32926736502135434</v>
      </c>
      <c r="H25" s="6">
        <f>E25/$C25</f>
        <v>1.6987671682865824E-4</v>
      </c>
      <c r="K25" s="1">
        <v>23</v>
      </c>
      <c r="L25" s="1" t="s">
        <v>184</v>
      </c>
      <c r="M25" s="4">
        <v>9267.3251953125</v>
      </c>
      <c r="N25" s="4">
        <v>7802.08837890625</v>
      </c>
      <c r="O25" s="4">
        <v>11.341129302978516</v>
      </c>
      <c r="Q25" s="1">
        <f>N25/$M25</f>
        <v>0.84189215490707281</v>
      </c>
      <c r="R25" s="1">
        <f>O25/$M25</f>
        <v>1.2237759077144467E-3</v>
      </c>
      <c r="U25" s="1">
        <f>G25/Q25</f>
        <v>0.3911039710991232</v>
      </c>
      <c r="V25" s="1">
        <f>H25/R25</f>
        <v>0.1388135816024717</v>
      </c>
      <c r="X25" s="7">
        <f>U25*($V$36/$W$36)*($Z$36/$Y$36)</f>
        <v>0.29335390924245963</v>
      </c>
      <c r="Y25" s="7">
        <f>V25*($V$36/$X$36)*($AA$36/$Y$36)</f>
        <v>0.15120903140276207</v>
      </c>
      <c r="AA25" s="1">
        <v>14.25</v>
      </c>
      <c r="AC25" s="8">
        <f>AA25*($V$36/$Y$36)</f>
        <v>5.6058778234086235</v>
      </c>
      <c r="AE25" s="1">
        <v>0.5</v>
      </c>
      <c r="AG25" s="8">
        <f t="shared" si="0"/>
        <v>4.5864049807848266</v>
      </c>
      <c r="AI25" s="9">
        <f t="shared" si="1"/>
        <v>45864.049807848263</v>
      </c>
    </row>
    <row r="26" spans="1:35" x14ac:dyDescent="0.25">
      <c r="A26" s="1">
        <v>24</v>
      </c>
      <c r="B26" s="1" t="s">
        <v>185</v>
      </c>
      <c r="C26" s="1">
        <v>8442330</v>
      </c>
      <c r="D26" s="1">
        <v>2851030.5</v>
      </c>
      <c r="E26" s="1">
        <v>1830.199462890625</v>
      </c>
      <c r="G26" s="1">
        <f>D26/$C26</f>
        <v>0.33770659284818288</v>
      </c>
      <c r="H26" s="6">
        <f>E26/$C26</f>
        <v>2.1678842960303908E-4</v>
      </c>
      <c r="K26" s="1">
        <v>24</v>
      </c>
      <c r="L26" s="1" t="s">
        <v>185</v>
      </c>
      <c r="M26" s="4">
        <v>9337.9013671875</v>
      </c>
      <c r="N26" s="4">
        <v>7863.12158203125</v>
      </c>
      <c r="O26" s="4">
        <v>11.427456855773926</v>
      </c>
      <c r="Q26" s="1">
        <f>N26/$M26</f>
        <v>0.8420651785487383</v>
      </c>
      <c r="R26" s="1">
        <f>O26/$M26</f>
        <v>1.2237714242655127E-3</v>
      </c>
      <c r="U26" s="1">
        <f>G26/Q26</f>
        <v>0.40104566897090449</v>
      </c>
      <c r="V26" s="1">
        <f>H26/R26</f>
        <v>0.17714781151484388</v>
      </c>
      <c r="X26" s="7">
        <f>U26*($V$36/$W$36)*($Z$36/$Y$36)</f>
        <v>0.30081084179928946</v>
      </c>
      <c r="Y26" s="7">
        <f>V26*($V$36/$X$36)*($AA$36/$Y$36)</f>
        <v>0.19296634151396067</v>
      </c>
      <c r="AA26" s="1">
        <v>14.25</v>
      </c>
      <c r="AC26" s="8">
        <f>AA26*($V$36/$Y$36)</f>
        <v>5.6058778234086235</v>
      </c>
      <c r="AE26" s="1">
        <v>0.5</v>
      </c>
      <c r="AG26" s="8">
        <f t="shared" si="0"/>
        <v>4.4958931061841012</v>
      </c>
      <c r="AI26" s="9">
        <f t="shared" si="1"/>
        <v>44958.931061841009</v>
      </c>
    </row>
    <row r="27" spans="1:35" x14ac:dyDescent="0.25">
      <c r="A27" s="1">
        <v>25</v>
      </c>
      <c r="B27" s="1" t="s">
        <v>186</v>
      </c>
      <c r="C27" s="1">
        <v>42557004</v>
      </c>
      <c r="D27" s="1">
        <v>20120504</v>
      </c>
      <c r="E27" s="1">
        <v>9249.779296875</v>
      </c>
      <c r="G27" s="1">
        <f>D27/$C27</f>
        <v>0.47278948489888994</v>
      </c>
      <c r="H27" s="6">
        <f>E27/$C27</f>
        <v>2.173503401901835E-4</v>
      </c>
      <c r="K27" s="1">
        <v>25</v>
      </c>
      <c r="L27" s="1" t="s">
        <v>186</v>
      </c>
      <c r="M27" s="4">
        <v>9408.478515625</v>
      </c>
      <c r="N27" s="4">
        <v>7924.1552734375</v>
      </c>
      <c r="O27" s="4">
        <v>11.513784408569336</v>
      </c>
      <c r="Q27" s="1">
        <f>N27/$M27</f>
        <v>0.84223557085001244</v>
      </c>
      <c r="R27" s="1">
        <f>O27/$M27</f>
        <v>1.2237668810581837E-3</v>
      </c>
      <c r="U27" s="1">
        <f>G27/Q27</f>
        <v>0.56135064970211945</v>
      </c>
      <c r="V27" s="1">
        <f>H27/R27</f>
        <v>0.17760763390020981</v>
      </c>
      <c r="X27" s="7">
        <f>U27*($V$36/$W$36)*($Z$36/$Y$36)</f>
        <v>0.42105020586501651</v>
      </c>
      <c r="Y27" s="7">
        <f>V27*($V$36/$X$36)*($AA$36/$Y$36)</f>
        <v>0.19346722404076994</v>
      </c>
      <c r="AA27" s="1">
        <v>14.25</v>
      </c>
      <c r="AC27" s="8">
        <f>AA27*($V$36/$Y$36)</f>
        <v>5.6058778234086235</v>
      </c>
      <c r="AE27" s="1">
        <v>0.5</v>
      </c>
      <c r="AG27" s="8">
        <f t="shared" si="0"/>
        <v>4.2882696128062374</v>
      </c>
      <c r="AI27" s="9">
        <f t="shared" si="1"/>
        <v>42882.696128062373</v>
      </c>
    </row>
    <row r="28" spans="1:35" x14ac:dyDescent="0.25">
      <c r="A28" s="1">
        <v>26</v>
      </c>
      <c r="B28" s="1" t="s">
        <v>187</v>
      </c>
      <c r="C28" s="1">
        <v>22118354</v>
      </c>
      <c r="D28" s="1">
        <v>7942473.5</v>
      </c>
      <c r="E28" s="1">
        <v>2848.01513671875</v>
      </c>
      <c r="G28" s="1">
        <f>D28/$C28</f>
        <v>0.35908971797810996</v>
      </c>
      <c r="H28" s="6">
        <f>E28/$C28</f>
        <v>1.2876252621324129E-4</v>
      </c>
      <c r="K28" s="1">
        <v>26</v>
      </c>
      <c r="L28" s="1" t="s">
        <v>187</v>
      </c>
      <c r="M28" s="4">
        <v>9479.0546875</v>
      </c>
      <c r="N28" s="4">
        <v>7985.1884765625</v>
      </c>
      <c r="O28" s="4">
        <v>11.600111961364746</v>
      </c>
      <c r="Q28" s="1">
        <f>N28/$M28</f>
        <v>0.84240346108484243</v>
      </c>
      <c r="R28" s="1">
        <f>O28/$M28</f>
        <v>1.2237625315804725E-3</v>
      </c>
      <c r="U28" s="1">
        <f>G28/Q28</f>
        <v>0.42626809428783241</v>
      </c>
      <c r="V28" s="1">
        <f>H28/R28</f>
        <v>0.10521855579852266</v>
      </c>
      <c r="X28" s="7">
        <f>U28*($V$36/$W$36)*($Z$36/$Y$36)</f>
        <v>0.31972933308052864</v>
      </c>
      <c r="Y28" s="7">
        <f>V28*($V$36/$X$36)*($AA$36/$Y$36)</f>
        <v>0.114614115738721</v>
      </c>
      <c r="AA28" s="1">
        <v>14.25</v>
      </c>
      <c r="AC28" s="8">
        <f>AA28*($V$36/$Y$36)</f>
        <v>5.6058778234086235</v>
      </c>
      <c r="AE28" s="1">
        <v>0.5</v>
      </c>
      <c r="AG28" s="8">
        <f t="shared" si="0"/>
        <v>4.605658931263533</v>
      </c>
      <c r="AI28" s="9">
        <f t="shared" si="1"/>
        <v>46056.589312635333</v>
      </c>
    </row>
    <row r="29" spans="1:35" x14ac:dyDescent="0.25">
      <c r="A29" s="1">
        <v>27</v>
      </c>
      <c r="B29" s="1" t="s">
        <v>188</v>
      </c>
      <c r="C29" s="1">
        <v>15766188</v>
      </c>
      <c r="D29" s="1">
        <v>4886432</v>
      </c>
      <c r="E29" s="1">
        <v>2259.062255859375</v>
      </c>
      <c r="G29" s="1">
        <f>D29/$C29</f>
        <v>0.30993110065667112</v>
      </c>
      <c r="H29" s="6">
        <f>E29/$C29</f>
        <v>1.4328525423262586E-4</v>
      </c>
      <c r="K29" s="1">
        <v>27</v>
      </c>
      <c r="L29" s="1" t="s">
        <v>188</v>
      </c>
      <c r="M29" s="4">
        <v>9549.6318359375</v>
      </c>
      <c r="N29" s="4">
        <v>8046.22216796875</v>
      </c>
      <c r="O29" s="4">
        <v>11.686439514160156</v>
      </c>
      <c r="Q29" s="1">
        <f>N29/$M29</f>
        <v>0.84256883471558897</v>
      </c>
      <c r="R29" s="1">
        <f>O29/$M29</f>
        <v>1.2237581212483342E-3</v>
      </c>
      <c r="U29" s="1">
        <f>G29/Q29</f>
        <v>0.36784068895841499</v>
      </c>
      <c r="V29" s="1">
        <f>H29/R29</f>
        <v>0.11708625401109746</v>
      </c>
      <c r="X29" s="7">
        <f>U29*($V$36/$W$36)*($Z$36/$Y$36)</f>
        <v>0.27590490523820865</v>
      </c>
      <c r="Y29" s="7">
        <f>V29*($V$36/$X$36)*($AA$36/$Y$36)</f>
        <v>0.12754154784578056</v>
      </c>
      <c r="AA29" s="1">
        <v>14.25</v>
      </c>
      <c r="AC29" s="8">
        <f>AA29*($V$36/$Y$36)</f>
        <v>5.6058778234086235</v>
      </c>
      <c r="AE29" s="1">
        <v>0.5</v>
      </c>
      <c r="AG29" s="8">
        <f t="shared" si="0"/>
        <v>4.6648660020824888</v>
      </c>
      <c r="AI29" s="9">
        <f t="shared" si="1"/>
        <v>46648.660020824886</v>
      </c>
    </row>
    <row r="30" spans="1:35" x14ac:dyDescent="0.25">
      <c r="A30" s="1">
        <v>28</v>
      </c>
      <c r="B30" s="1" t="s">
        <v>189</v>
      </c>
      <c r="C30" s="1">
        <v>54091516</v>
      </c>
      <c r="D30" s="1">
        <v>19385704</v>
      </c>
      <c r="E30" s="1">
        <v>6073.80810546875</v>
      </c>
      <c r="G30" s="1">
        <f>D30/$C30</f>
        <v>0.35838714522255211</v>
      </c>
      <c r="H30" s="6">
        <f>E30/$C30</f>
        <v>1.1228762945872602E-4</v>
      </c>
      <c r="K30" s="1">
        <v>28</v>
      </c>
      <c r="L30" s="1" t="s">
        <v>189</v>
      </c>
      <c r="M30" s="4">
        <v>9620.2080078125</v>
      </c>
      <c r="N30" s="4">
        <v>8107.25537109375</v>
      </c>
      <c r="O30" s="4">
        <v>11.772767066955566</v>
      </c>
      <c r="Q30" s="1">
        <f>N30/$M30</f>
        <v>0.8427318166623744</v>
      </c>
      <c r="R30" s="1">
        <f>O30/$M30</f>
        <v>1.2237538998527879E-3</v>
      </c>
      <c r="U30" s="1">
        <f>G30/Q30</f>
        <v>0.42526832159006234</v>
      </c>
      <c r="V30" s="1">
        <f>H30/R30</f>
        <v>9.175670816839375E-2</v>
      </c>
      <c r="X30" s="7">
        <f>U30*($V$36/$W$36)*($Z$36/$Y$36)</f>
        <v>0.31897943727041833</v>
      </c>
      <c r="Y30" s="7">
        <f>V30*($V$36/$X$36)*($AA$36/$Y$36)</f>
        <v>9.9950183596456368E-2</v>
      </c>
      <c r="AA30" s="1">
        <v>14.25</v>
      </c>
      <c r="AC30" s="8">
        <f>AA30*($V$36/$Y$36)</f>
        <v>5.6058778234086235</v>
      </c>
      <c r="AE30" s="1">
        <v>0.5</v>
      </c>
      <c r="AG30" s="8">
        <f t="shared" si="0"/>
        <v>4.6350069675856371</v>
      </c>
      <c r="AI30" s="9">
        <f t="shared" si="1"/>
        <v>46350.069675856372</v>
      </c>
    </row>
    <row r="31" spans="1:35" x14ac:dyDescent="0.25">
      <c r="A31" s="1">
        <v>29</v>
      </c>
      <c r="B31" s="1" t="s">
        <v>190</v>
      </c>
      <c r="C31" s="1">
        <v>89093384</v>
      </c>
      <c r="D31" s="1">
        <v>26786386</v>
      </c>
      <c r="E31" s="1">
        <v>10115</v>
      </c>
      <c r="G31" s="1">
        <f>D31/$C31</f>
        <v>0.30065516424878419</v>
      </c>
      <c r="H31" s="6">
        <f>E31/$C31</f>
        <v>1.1353256039752626E-4</v>
      </c>
      <c r="K31" s="1">
        <v>29</v>
      </c>
      <c r="L31" s="1" t="s">
        <v>190</v>
      </c>
      <c r="M31" s="4">
        <v>9690.78515625</v>
      </c>
      <c r="N31" s="4">
        <v>8168.2890625</v>
      </c>
      <c r="O31" s="4">
        <v>11.859094619750977</v>
      </c>
      <c r="Q31" s="1">
        <f>N31/$M31</f>
        <v>0.84289239012093076</v>
      </c>
      <c r="R31" s="1">
        <f>O31/$M31</f>
        <v>1.2237496166244632E-3</v>
      </c>
      <c r="U31" s="1">
        <f>G31/Q31</f>
        <v>0.35669460036962586</v>
      </c>
      <c r="V31" s="1">
        <f>H31/R31</f>
        <v>9.2774337867160647E-2</v>
      </c>
      <c r="X31" s="7">
        <f>U31*($V$36/$W$36)*($Z$36/$Y$36)</f>
        <v>0.26754459979028633</v>
      </c>
      <c r="Y31" s="7">
        <f>V31*($V$36/$X$36)*($AA$36/$Y$36)</f>
        <v>0.10105868320651532</v>
      </c>
      <c r="AA31" s="1">
        <v>14.25</v>
      </c>
      <c r="AC31" s="8">
        <f>AA31*($V$36/$Y$36)</f>
        <v>5.6058778234086235</v>
      </c>
      <c r="AE31" s="1">
        <v>0.5</v>
      </c>
      <c r="AG31" s="8">
        <f t="shared" si="0"/>
        <v>4.7334881815379068</v>
      </c>
      <c r="AI31" s="9">
        <f t="shared" si="1"/>
        <v>47334.881815379071</v>
      </c>
    </row>
    <row r="34" spans="2:27" x14ac:dyDescent="0.25">
      <c r="B34" s="13" t="s">
        <v>24</v>
      </c>
      <c r="C34" s="13"/>
      <c r="D34" s="13"/>
      <c r="E34" s="10" t="s">
        <v>191</v>
      </c>
      <c r="V34" s="17" t="s">
        <v>195</v>
      </c>
      <c r="W34" s="17"/>
      <c r="X34" s="17"/>
      <c r="Y34" s="17"/>
      <c r="Z34" s="17"/>
      <c r="AA34" s="17"/>
    </row>
    <row r="35" spans="2:27" x14ac:dyDescent="0.25">
      <c r="B35" s="14" t="s">
        <v>25</v>
      </c>
      <c r="C35" s="14"/>
      <c r="D35" s="14"/>
      <c r="V35" s="1" t="s">
        <v>9</v>
      </c>
      <c r="W35" s="1" t="s">
        <v>10</v>
      </c>
      <c r="X35" s="1" t="s">
        <v>11</v>
      </c>
      <c r="Y35" s="1" t="s">
        <v>14</v>
      </c>
      <c r="Z35" s="1" t="s">
        <v>12</v>
      </c>
      <c r="AA35" s="1" t="s">
        <v>13</v>
      </c>
    </row>
    <row r="36" spans="2:27" x14ac:dyDescent="0.25">
      <c r="B36" s="15" t="s">
        <v>26</v>
      </c>
      <c r="C36" s="15"/>
      <c r="D36" s="15"/>
      <c r="U36" s="1" t="s">
        <v>15</v>
      </c>
      <c r="V36" s="1">
        <v>22.99</v>
      </c>
      <c r="W36" s="1">
        <v>39.1</v>
      </c>
      <c r="X36" s="1">
        <v>40.08</v>
      </c>
      <c r="Y36" s="1">
        <v>58.44</v>
      </c>
      <c r="Z36" s="1">
        <v>74.55</v>
      </c>
      <c r="AA36" s="1">
        <v>110.98</v>
      </c>
    </row>
    <row r="37" spans="2:27" x14ac:dyDescent="0.25">
      <c r="B37" s="16" t="s">
        <v>27</v>
      </c>
      <c r="C37" s="16"/>
      <c r="D37" s="16"/>
    </row>
    <row r="38" spans="2:27" x14ac:dyDescent="0.25">
      <c r="B38" s="16"/>
      <c r="C38" s="16"/>
      <c r="D38" s="16"/>
    </row>
    <row r="41" spans="2:27" x14ac:dyDescent="0.25">
      <c r="B41" s="10" t="s">
        <v>193</v>
      </c>
      <c r="C41" s="10" t="s">
        <v>194</v>
      </c>
    </row>
    <row r="42" spans="2:27" x14ac:dyDescent="0.25">
      <c r="C42" s="10" t="s">
        <v>192</v>
      </c>
    </row>
    <row r="62" ht="31.5" customHeight="1" x14ac:dyDescent="0.25"/>
  </sheetData>
  <mergeCells count="12">
    <mergeCell ref="B37:D38"/>
    <mergeCell ref="K4:O4"/>
    <mergeCell ref="Q4:R4"/>
    <mergeCell ref="V34:AA34"/>
    <mergeCell ref="U4:V4"/>
    <mergeCell ref="X4:Y4"/>
    <mergeCell ref="A1:M2"/>
    <mergeCell ref="A4:E4"/>
    <mergeCell ref="G4:H4"/>
    <mergeCell ref="B34:D34"/>
    <mergeCell ref="B35:D35"/>
    <mergeCell ref="B36:D3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DB517-0315-4999-8152-EB279BBED628}">
  <dimension ref="A1:D70"/>
  <sheetViews>
    <sheetView workbookViewId="0">
      <selection activeCell="E4" sqref="E4"/>
    </sheetView>
  </sheetViews>
  <sheetFormatPr defaultRowHeight="15" x14ac:dyDescent="0.25"/>
  <cols>
    <col min="3" max="3" width="14.28515625" bestFit="1" customWidth="1"/>
    <col min="4" max="4" width="15.5703125" bestFit="1" customWidth="1"/>
  </cols>
  <sheetData>
    <row r="1" spans="1:4" x14ac:dyDescent="0.25">
      <c r="A1" t="s">
        <v>160</v>
      </c>
      <c r="B1" t="s">
        <v>161</v>
      </c>
      <c r="C1" t="s">
        <v>162</v>
      </c>
      <c r="D1" t="s">
        <v>163</v>
      </c>
    </row>
    <row r="2" spans="1:4" x14ac:dyDescent="0.25">
      <c r="A2" t="s">
        <v>28</v>
      </c>
      <c r="B2" t="s">
        <v>29</v>
      </c>
      <c r="C2">
        <v>6.94</v>
      </c>
      <c r="D2">
        <v>42.39</v>
      </c>
    </row>
    <row r="3" spans="1:4" x14ac:dyDescent="0.25">
      <c r="A3" t="s">
        <v>30</v>
      </c>
      <c r="B3" t="s">
        <v>31</v>
      </c>
      <c r="C3">
        <v>9.01</v>
      </c>
      <c r="D3">
        <v>79.91</v>
      </c>
    </row>
    <row r="4" spans="1:4" x14ac:dyDescent="0.25">
      <c r="A4" t="s">
        <v>32</v>
      </c>
      <c r="B4" t="s">
        <v>33</v>
      </c>
      <c r="C4">
        <v>10.81</v>
      </c>
      <c r="D4">
        <v>117.16</v>
      </c>
    </row>
    <row r="5" spans="1:4" x14ac:dyDescent="0.25">
      <c r="A5" t="s">
        <v>9</v>
      </c>
      <c r="B5" t="s">
        <v>14</v>
      </c>
      <c r="C5">
        <v>22.99</v>
      </c>
      <c r="D5">
        <v>58.44</v>
      </c>
    </row>
    <row r="6" spans="1:4" x14ac:dyDescent="0.25">
      <c r="A6" t="s">
        <v>34</v>
      </c>
      <c r="B6" t="s">
        <v>35</v>
      </c>
      <c r="C6">
        <v>24.3</v>
      </c>
      <c r="D6">
        <v>95.2</v>
      </c>
    </row>
    <row r="7" spans="1:4" x14ac:dyDescent="0.25">
      <c r="A7" t="s">
        <v>36</v>
      </c>
      <c r="B7" t="s">
        <v>37</v>
      </c>
      <c r="C7">
        <v>26.98</v>
      </c>
      <c r="D7">
        <v>133.33000000000001</v>
      </c>
    </row>
    <row r="8" spans="1:4" x14ac:dyDescent="0.25">
      <c r="A8" t="s">
        <v>38</v>
      </c>
      <c r="B8" t="s">
        <v>39</v>
      </c>
      <c r="C8">
        <v>28.09</v>
      </c>
      <c r="D8">
        <v>169.89</v>
      </c>
    </row>
    <row r="9" spans="1:4" x14ac:dyDescent="0.25">
      <c r="A9" t="s">
        <v>40</v>
      </c>
      <c r="B9" t="s">
        <v>41</v>
      </c>
      <c r="C9">
        <v>30.97</v>
      </c>
      <c r="D9">
        <v>208.22</v>
      </c>
    </row>
    <row r="10" spans="1:4" x14ac:dyDescent="0.25">
      <c r="A10" t="s">
        <v>10</v>
      </c>
      <c r="B10" t="s">
        <v>12</v>
      </c>
      <c r="C10">
        <v>39.1</v>
      </c>
      <c r="D10">
        <v>74.55</v>
      </c>
    </row>
    <row r="11" spans="1:4" x14ac:dyDescent="0.25">
      <c r="A11" t="s">
        <v>11</v>
      </c>
      <c r="B11" t="s">
        <v>13</v>
      </c>
      <c r="C11">
        <v>40.08</v>
      </c>
      <c r="D11">
        <v>110.98</v>
      </c>
    </row>
    <row r="12" spans="1:4" x14ac:dyDescent="0.25">
      <c r="A12" t="s">
        <v>42</v>
      </c>
      <c r="B12" t="s">
        <v>43</v>
      </c>
      <c r="C12">
        <v>44.96</v>
      </c>
      <c r="D12">
        <v>151.31</v>
      </c>
    </row>
    <row r="13" spans="1:4" x14ac:dyDescent="0.25">
      <c r="A13" t="s">
        <v>44</v>
      </c>
      <c r="B13" t="s">
        <v>45</v>
      </c>
      <c r="C13">
        <v>47.87</v>
      </c>
      <c r="D13">
        <v>189.67</v>
      </c>
    </row>
    <row r="14" spans="1:4" x14ac:dyDescent="0.25">
      <c r="A14" t="s">
        <v>46</v>
      </c>
      <c r="B14" t="s">
        <v>47</v>
      </c>
      <c r="C14">
        <v>50.94</v>
      </c>
      <c r="D14">
        <v>192.74</v>
      </c>
    </row>
    <row r="15" spans="1:4" x14ac:dyDescent="0.25">
      <c r="A15" t="s">
        <v>48</v>
      </c>
      <c r="B15" t="s">
        <v>49</v>
      </c>
      <c r="C15">
        <v>52</v>
      </c>
      <c r="D15">
        <v>158.35</v>
      </c>
    </row>
    <row r="16" spans="1:4" x14ac:dyDescent="0.25">
      <c r="A16" t="s">
        <v>50</v>
      </c>
      <c r="B16" t="s">
        <v>51</v>
      </c>
      <c r="C16">
        <v>54.94</v>
      </c>
      <c r="D16">
        <v>125.84</v>
      </c>
    </row>
    <row r="17" spans="1:4" x14ac:dyDescent="0.25">
      <c r="A17" t="s">
        <v>52</v>
      </c>
      <c r="B17" t="s">
        <v>53</v>
      </c>
      <c r="C17">
        <v>55.85</v>
      </c>
      <c r="D17">
        <v>126.75</v>
      </c>
    </row>
    <row r="18" spans="1:4" x14ac:dyDescent="0.25">
      <c r="A18" t="s">
        <v>54</v>
      </c>
      <c r="B18" t="s">
        <v>55</v>
      </c>
      <c r="C18">
        <v>58.93</v>
      </c>
      <c r="D18">
        <v>129.83000000000001</v>
      </c>
    </row>
    <row r="19" spans="1:4" x14ac:dyDescent="0.25">
      <c r="A19" t="s">
        <v>56</v>
      </c>
      <c r="B19" t="s">
        <v>57</v>
      </c>
      <c r="C19">
        <v>58.69</v>
      </c>
      <c r="D19">
        <v>129.59</v>
      </c>
    </row>
    <row r="20" spans="1:4" x14ac:dyDescent="0.25">
      <c r="A20" t="s">
        <v>58</v>
      </c>
      <c r="B20" t="s">
        <v>59</v>
      </c>
      <c r="C20">
        <v>63.55</v>
      </c>
      <c r="D20">
        <v>99</v>
      </c>
    </row>
    <row r="21" spans="1:4" x14ac:dyDescent="0.25">
      <c r="A21" t="s">
        <v>60</v>
      </c>
      <c r="B21" t="s">
        <v>61</v>
      </c>
      <c r="C21">
        <v>65.39</v>
      </c>
      <c r="D21">
        <v>136.29</v>
      </c>
    </row>
    <row r="22" spans="1:4" x14ac:dyDescent="0.25">
      <c r="A22" t="s">
        <v>62</v>
      </c>
      <c r="B22" t="s">
        <v>63</v>
      </c>
      <c r="C22">
        <v>69.72</v>
      </c>
      <c r="D22">
        <v>176.07</v>
      </c>
    </row>
    <row r="23" spans="1:4" x14ac:dyDescent="0.25">
      <c r="A23" t="s">
        <v>64</v>
      </c>
      <c r="B23" t="s">
        <v>65</v>
      </c>
      <c r="C23">
        <v>72.61</v>
      </c>
      <c r="D23">
        <v>143.51</v>
      </c>
    </row>
    <row r="24" spans="1:4" x14ac:dyDescent="0.25">
      <c r="A24" t="s">
        <v>66</v>
      </c>
      <c r="B24" t="s">
        <v>67</v>
      </c>
      <c r="C24">
        <v>74.92</v>
      </c>
      <c r="D24">
        <v>181.27</v>
      </c>
    </row>
    <row r="25" spans="1:4" x14ac:dyDescent="0.25">
      <c r="A25" t="s">
        <v>68</v>
      </c>
      <c r="B25" t="s">
        <v>69</v>
      </c>
      <c r="C25">
        <v>85.47</v>
      </c>
      <c r="D25">
        <v>120.92</v>
      </c>
    </row>
    <row r="26" spans="1:4" x14ac:dyDescent="0.25">
      <c r="A26" t="s">
        <v>70</v>
      </c>
      <c r="B26" t="s">
        <v>71</v>
      </c>
      <c r="C26">
        <v>87.62</v>
      </c>
      <c r="D26">
        <v>158.52000000000001</v>
      </c>
    </row>
    <row r="27" spans="1:4" x14ac:dyDescent="0.25">
      <c r="A27" t="s">
        <v>72</v>
      </c>
      <c r="B27" t="s">
        <v>73</v>
      </c>
      <c r="C27">
        <v>88.91</v>
      </c>
      <c r="D27">
        <v>195.26</v>
      </c>
    </row>
    <row r="28" spans="1:4" x14ac:dyDescent="0.25">
      <c r="A28" t="s">
        <v>74</v>
      </c>
      <c r="B28" t="s">
        <v>75</v>
      </c>
      <c r="C28">
        <v>91.22</v>
      </c>
      <c r="D28">
        <v>233.02</v>
      </c>
    </row>
    <row r="29" spans="1:4" x14ac:dyDescent="0.25">
      <c r="A29" t="s">
        <v>76</v>
      </c>
      <c r="B29" t="s">
        <v>77</v>
      </c>
      <c r="C29">
        <v>92.91</v>
      </c>
      <c r="D29">
        <v>270.16000000000003</v>
      </c>
    </row>
    <row r="30" spans="1:4" x14ac:dyDescent="0.25">
      <c r="A30" t="s">
        <v>78</v>
      </c>
      <c r="B30" t="s">
        <v>79</v>
      </c>
      <c r="C30">
        <v>95.94</v>
      </c>
      <c r="D30">
        <v>308.64</v>
      </c>
    </row>
    <row r="31" spans="1:4" x14ac:dyDescent="0.25">
      <c r="A31" t="s">
        <v>80</v>
      </c>
      <c r="B31" t="s">
        <v>81</v>
      </c>
      <c r="C31">
        <v>98.91</v>
      </c>
      <c r="D31">
        <v>169.81</v>
      </c>
    </row>
    <row r="32" spans="1:4" x14ac:dyDescent="0.25">
      <c r="A32" t="s">
        <v>82</v>
      </c>
      <c r="B32" t="s">
        <v>83</v>
      </c>
      <c r="C32">
        <v>101.1</v>
      </c>
      <c r="D32">
        <v>207.45</v>
      </c>
    </row>
    <row r="33" spans="1:4" x14ac:dyDescent="0.25">
      <c r="A33" t="s">
        <v>84</v>
      </c>
      <c r="B33" t="s">
        <v>85</v>
      </c>
      <c r="C33">
        <v>102.9</v>
      </c>
      <c r="D33">
        <v>209.25</v>
      </c>
    </row>
    <row r="34" spans="1:4" x14ac:dyDescent="0.25">
      <c r="A34" t="s">
        <v>86</v>
      </c>
      <c r="B34" t="s">
        <v>87</v>
      </c>
      <c r="C34">
        <v>106.4</v>
      </c>
      <c r="D34">
        <v>177.3</v>
      </c>
    </row>
    <row r="35" spans="1:4" x14ac:dyDescent="0.25">
      <c r="A35" t="s">
        <v>88</v>
      </c>
      <c r="B35" t="s">
        <v>89</v>
      </c>
      <c r="C35">
        <v>107.9</v>
      </c>
      <c r="D35">
        <v>143.35</v>
      </c>
    </row>
    <row r="36" spans="1:4" x14ac:dyDescent="0.25">
      <c r="A36" t="s">
        <v>90</v>
      </c>
      <c r="B36" t="s">
        <v>91</v>
      </c>
      <c r="C36">
        <v>112.4</v>
      </c>
      <c r="D36">
        <v>183.3</v>
      </c>
    </row>
    <row r="37" spans="1:4" x14ac:dyDescent="0.25">
      <c r="A37" t="s">
        <v>92</v>
      </c>
      <c r="B37" t="s">
        <v>93</v>
      </c>
      <c r="C37">
        <v>114.8</v>
      </c>
      <c r="D37">
        <v>221.15</v>
      </c>
    </row>
    <row r="38" spans="1:4" x14ac:dyDescent="0.25">
      <c r="A38" t="s">
        <v>94</v>
      </c>
      <c r="B38" t="s">
        <v>95</v>
      </c>
      <c r="C38">
        <v>118.7</v>
      </c>
      <c r="D38">
        <v>189.6</v>
      </c>
    </row>
    <row r="39" spans="1:4" x14ac:dyDescent="0.25">
      <c r="A39" t="s">
        <v>96</v>
      </c>
      <c r="B39" t="s">
        <v>97</v>
      </c>
      <c r="C39">
        <v>121.8</v>
      </c>
      <c r="D39">
        <v>228.15</v>
      </c>
    </row>
    <row r="40" spans="1:4" x14ac:dyDescent="0.25">
      <c r="A40" t="s">
        <v>98</v>
      </c>
      <c r="B40" t="s">
        <v>99</v>
      </c>
      <c r="C40">
        <v>132.9</v>
      </c>
      <c r="D40">
        <v>168.35</v>
      </c>
    </row>
    <row r="41" spans="1:4" x14ac:dyDescent="0.25">
      <c r="A41" t="s">
        <v>100</v>
      </c>
      <c r="B41" t="s">
        <v>101</v>
      </c>
      <c r="C41">
        <v>137.30000000000001</v>
      </c>
      <c r="D41">
        <v>208.2</v>
      </c>
    </row>
    <row r="42" spans="1:4" x14ac:dyDescent="0.25">
      <c r="A42" t="s">
        <v>102</v>
      </c>
      <c r="B42" t="s">
        <v>103</v>
      </c>
      <c r="C42">
        <v>138.9</v>
      </c>
      <c r="D42">
        <v>245.25</v>
      </c>
    </row>
    <row r="43" spans="1:4" x14ac:dyDescent="0.25">
      <c r="A43" t="s">
        <v>104</v>
      </c>
      <c r="B43" t="s">
        <v>105</v>
      </c>
      <c r="C43">
        <v>140.1</v>
      </c>
      <c r="D43">
        <v>246.45</v>
      </c>
    </row>
    <row r="44" spans="1:4" x14ac:dyDescent="0.25">
      <c r="A44" t="s">
        <v>106</v>
      </c>
      <c r="B44" t="s">
        <v>107</v>
      </c>
      <c r="C44">
        <v>140.9</v>
      </c>
      <c r="D44">
        <v>247.25</v>
      </c>
    </row>
    <row r="45" spans="1:4" x14ac:dyDescent="0.25">
      <c r="A45" t="s">
        <v>108</v>
      </c>
      <c r="B45" t="s">
        <v>109</v>
      </c>
      <c r="C45">
        <v>144.19999999999999</v>
      </c>
      <c r="D45">
        <v>250.55</v>
      </c>
    </row>
    <row r="46" spans="1:4" x14ac:dyDescent="0.25">
      <c r="A46" t="s">
        <v>110</v>
      </c>
      <c r="B46" t="s">
        <v>111</v>
      </c>
      <c r="C46">
        <v>146.9</v>
      </c>
      <c r="D46">
        <v>253.25</v>
      </c>
    </row>
    <row r="47" spans="1:4" x14ac:dyDescent="0.25">
      <c r="A47" t="s">
        <v>112</v>
      </c>
      <c r="B47" t="s">
        <v>113</v>
      </c>
      <c r="C47">
        <v>150.4</v>
      </c>
      <c r="D47">
        <v>256.75</v>
      </c>
    </row>
    <row r="48" spans="1:4" x14ac:dyDescent="0.25">
      <c r="A48" t="s">
        <v>114</v>
      </c>
      <c r="B48" t="s">
        <v>115</v>
      </c>
      <c r="C48">
        <v>152</v>
      </c>
      <c r="D48">
        <v>258.35000000000002</v>
      </c>
    </row>
    <row r="49" spans="1:4" x14ac:dyDescent="0.25">
      <c r="A49" t="s">
        <v>116</v>
      </c>
      <c r="B49" t="s">
        <v>117</v>
      </c>
      <c r="C49">
        <v>157.19999999999999</v>
      </c>
      <c r="D49">
        <v>228.1</v>
      </c>
    </row>
    <row r="50" spans="1:4" x14ac:dyDescent="0.25">
      <c r="A50" t="s">
        <v>118</v>
      </c>
      <c r="B50" t="s">
        <v>119</v>
      </c>
      <c r="C50">
        <v>158.9</v>
      </c>
      <c r="D50">
        <v>265.25</v>
      </c>
    </row>
    <row r="51" spans="1:4" x14ac:dyDescent="0.25">
      <c r="A51" t="s">
        <v>120</v>
      </c>
      <c r="B51" t="s">
        <v>121</v>
      </c>
      <c r="C51">
        <v>162.5</v>
      </c>
      <c r="D51">
        <v>268.85000000000002</v>
      </c>
    </row>
    <row r="52" spans="1:4" x14ac:dyDescent="0.25">
      <c r="A52" t="s">
        <v>122</v>
      </c>
      <c r="B52" t="s">
        <v>123</v>
      </c>
      <c r="C52">
        <v>164.9</v>
      </c>
      <c r="D52">
        <v>271.25</v>
      </c>
    </row>
    <row r="53" spans="1:4" x14ac:dyDescent="0.25">
      <c r="A53" t="s">
        <v>124</v>
      </c>
      <c r="B53" t="s">
        <v>125</v>
      </c>
      <c r="C53">
        <v>167.3</v>
      </c>
      <c r="D53">
        <v>273.64999999999998</v>
      </c>
    </row>
    <row r="54" spans="1:4" x14ac:dyDescent="0.25">
      <c r="A54" t="s">
        <v>126</v>
      </c>
      <c r="B54" t="s">
        <v>127</v>
      </c>
      <c r="C54">
        <v>168.9</v>
      </c>
      <c r="D54">
        <v>275.25</v>
      </c>
    </row>
    <row r="55" spans="1:4" x14ac:dyDescent="0.25">
      <c r="A55" t="s">
        <v>128</v>
      </c>
      <c r="B55" t="s">
        <v>129</v>
      </c>
      <c r="C55">
        <v>173</v>
      </c>
      <c r="D55">
        <v>279.35000000000002</v>
      </c>
    </row>
    <row r="56" spans="1:4" x14ac:dyDescent="0.25">
      <c r="A56" t="s">
        <v>130</v>
      </c>
      <c r="B56" t="s">
        <v>131</v>
      </c>
      <c r="C56">
        <v>175</v>
      </c>
      <c r="D56">
        <v>281.35000000000002</v>
      </c>
    </row>
    <row r="57" spans="1:4" x14ac:dyDescent="0.25">
      <c r="A57" t="s">
        <v>132</v>
      </c>
      <c r="B57" t="s">
        <v>133</v>
      </c>
      <c r="C57">
        <v>178.5</v>
      </c>
      <c r="D57">
        <v>320.3</v>
      </c>
    </row>
    <row r="58" spans="1:4" x14ac:dyDescent="0.25">
      <c r="A58" t="s">
        <v>134</v>
      </c>
      <c r="B58" t="s">
        <v>135</v>
      </c>
      <c r="C58">
        <v>180.9</v>
      </c>
      <c r="D58">
        <v>358.15</v>
      </c>
    </row>
    <row r="59" spans="1:4" x14ac:dyDescent="0.25">
      <c r="A59" t="s">
        <v>136</v>
      </c>
      <c r="B59" t="s">
        <v>137</v>
      </c>
      <c r="C59">
        <v>183.8</v>
      </c>
      <c r="D59">
        <v>396.5</v>
      </c>
    </row>
    <row r="60" spans="1:4" x14ac:dyDescent="0.25">
      <c r="A60" t="s">
        <v>138</v>
      </c>
      <c r="B60" t="s">
        <v>139</v>
      </c>
      <c r="C60">
        <v>186.2</v>
      </c>
      <c r="D60">
        <v>328</v>
      </c>
    </row>
    <row r="61" spans="1:4" x14ac:dyDescent="0.25">
      <c r="A61" t="s">
        <v>140</v>
      </c>
      <c r="B61" t="s">
        <v>141</v>
      </c>
      <c r="C61">
        <v>190.2</v>
      </c>
      <c r="D61">
        <v>332</v>
      </c>
    </row>
    <row r="62" spans="1:4" x14ac:dyDescent="0.25">
      <c r="A62" t="s">
        <v>142</v>
      </c>
      <c r="B62" t="s">
        <v>143</v>
      </c>
      <c r="C62">
        <v>192.2</v>
      </c>
      <c r="D62">
        <v>334</v>
      </c>
    </row>
    <row r="63" spans="1:4" x14ac:dyDescent="0.25">
      <c r="A63" t="s">
        <v>144</v>
      </c>
      <c r="B63" t="s">
        <v>145</v>
      </c>
      <c r="C63">
        <v>195.1</v>
      </c>
      <c r="D63">
        <v>336.9</v>
      </c>
    </row>
    <row r="64" spans="1:4" x14ac:dyDescent="0.25">
      <c r="A64" t="s">
        <v>146</v>
      </c>
      <c r="B64" t="s">
        <v>147</v>
      </c>
      <c r="C64">
        <v>197</v>
      </c>
      <c r="D64">
        <v>232.45</v>
      </c>
    </row>
    <row r="65" spans="1:4" x14ac:dyDescent="0.25">
      <c r="A65" t="s">
        <v>148</v>
      </c>
      <c r="B65" t="s">
        <v>149</v>
      </c>
      <c r="C65">
        <v>200.6</v>
      </c>
      <c r="D65">
        <v>236.05</v>
      </c>
    </row>
    <row r="66" spans="1:4" x14ac:dyDescent="0.25">
      <c r="A66" t="s">
        <v>150</v>
      </c>
      <c r="B66" t="s">
        <v>151</v>
      </c>
      <c r="C66">
        <v>204.4</v>
      </c>
      <c r="D66">
        <v>239.85</v>
      </c>
    </row>
    <row r="67" spans="1:4" x14ac:dyDescent="0.25">
      <c r="A67" t="s">
        <v>152</v>
      </c>
      <c r="B67" t="s">
        <v>153</v>
      </c>
      <c r="C67">
        <v>207.2</v>
      </c>
      <c r="D67">
        <v>278.10000000000002</v>
      </c>
    </row>
    <row r="68" spans="1:4" x14ac:dyDescent="0.25">
      <c r="A68" t="s">
        <v>154</v>
      </c>
      <c r="B68" t="s">
        <v>155</v>
      </c>
      <c r="C68">
        <v>209</v>
      </c>
      <c r="D68">
        <v>315.35000000000002</v>
      </c>
    </row>
    <row r="69" spans="1:4" x14ac:dyDescent="0.25">
      <c r="A69" t="s">
        <v>156</v>
      </c>
      <c r="B69" t="s">
        <v>157</v>
      </c>
      <c r="C69">
        <v>232</v>
      </c>
      <c r="D69">
        <v>373.8</v>
      </c>
    </row>
    <row r="70" spans="1:4" x14ac:dyDescent="0.25">
      <c r="A70" t="s">
        <v>158</v>
      </c>
      <c r="B70" t="s">
        <v>159</v>
      </c>
      <c r="C70">
        <v>238</v>
      </c>
      <c r="D70">
        <v>379.8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 and K correction Example</vt:lpstr>
      <vt:lpstr>Chlorides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</dc:creator>
  <cp:lastModifiedBy>Stumpf, Sebastian (GEO)</cp:lastModifiedBy>
  <dcterms:created xsi:type="dcterms:W3CDTF">2015-06-05T18:19:34Z</dcterms:created>
  <dcterms:modified xsi:type="dcterms:W3CDTF">2026-01-21T14:05:56Z</dcterms:modified>
</cp:coreProperties>
</file>